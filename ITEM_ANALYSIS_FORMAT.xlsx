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SO-VPAR\Revised VPAR Forms - as of September 2023\"/>
    </mc:Choice>
  </mc:AlternateContent>
  <bookViews>
    <workbookView xWindow="0" yWindow="0" windowWidth="15480" windowHeight="8190" tabRatio="581"/>
  </bookViews>
  <sheets>
    <sheet name="Items Analysis" sheetId="1" r:id="rId1"/>
  </sheets>
  <definedNames>
    <definedName name="_xlnm.Print_Area" localSheetId="0">'Items Analysis'!$A$1:$CX$78</definedName>
  </definedNames>
  <calcPr calcId="152511"/>
</workbook>
</file>

<file path=xl/calcChain.xml><?xml version="1.0" encoding="utf-8"?>
<calcChain xmlns="http://schemas.openxmlformats.org/spreadsheetml/2006/main">
  <c r="C35" i="1" l="1"/>
  <c r="X11" i="1"/>
  <c r="C61" i="1" l="1"/>
  <c r="X14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D35" i="1" l="1"/>
  <c r="L35" i="1"/>
  <c r="T35" i="1"/>
  <c r="AB35" i="1"/>
  <c r="G35" i="1"/>
  <c r="K35" i="1"/>
  <c r="O35" i="1"/>
  <c r="S35" i="1"/>
  <c r="W35" i="1"/>
  <c r="AA35" i="1"/>
  <c r="AE35" i="1"/>
  <c r="AI35" i="1"/>
  <c r="AM35" i="1"/>
  <c r="AQ35" i="1"/>
  <c r="AU35" i="1"/>
  <c r="AY35" i="1"/>
  <c r="BC35" i="1"/>
  <c r="BG35" i="1"/>
  <c r="BK35" i="1"/>
  <c r="BO35" i="1"/>
  <c r="BS35" i="1"/>
  <c r="BW35" i="1"/>
  <c r="CA35" i="1"/>
  <c r="CE35" i="1"/>
  <c r="CI35" i="1"/>
  <c r="CM35" i="1"/>
  <c r="CQ35" i="1"/>
  <c r="CU35" i="1"/>
  <c r="C62" i="1"/>
  <c r="G62" i="1"/>
  <c r="K62" i="1"/>
  <c r="O62" i="1"/>
  <c r="S62" i="1"/>
  <c r="W62" i="1"/>
  <c r="AA62" i="1"/>
  <c r="AE62" i="1"/>
  <c r="AI62" i="1"/>
  <c r="AM62" i="1"/>
  <c r="AQ62" i="1"/>
  <c r="AU62" i="1"/>
  <c r="AY62" i="1"/>
  <c r="BC62" i="1"/>
  <c r="BG62" i="1"/>
  <c r="BG64" i="1" s="1"/>
  <c r="BG65" i="1" s="1"/>
  <c r="BK62" i="1"/>
  <c r="BO62" i="1"/>
  <c r="BS62" i="1"/>
  <c r="BW62" i="1"/>
  <c r="BW64" i="1" s="1"/>
  <c r="BW65" i="1" s="1"/>
  <c r="CA62" i="1"/>
  <c r="CE62" i="1"/>
  <c r="CI62" i="1"/>
  <c r="CM62" i="1"/>
  <c r="CQ62" i="1"/>
  <c r="CU62" i="1"/>
  <c r="J35" i="1"/>
  <c r="R35" i="1"/>
  <c r="Z35" i="1"/>
  <c r="AH35" i="1"/>
  <c r="AL35" i="1"/>
  <c r="AP35" i="1"/>
  <c r="AT35" i="1"/>
  <c r="AX35" i="1"/>
  <c r="BB35" i="1"/>
  <c r="BF35" i="1"/>
  <c r="BJ35" i="1"/>
  <c r="BN35" i="1"/>
  <c r="BR35" i="1"/>
  <c r="BV35" i="1"/>
  <c r="BZ35" i="1"/>
  <c r="CD35" i="1"/>
  <c r="CH35" i="1"/>
  <c r="CL35" i="1"/>
  <c r="CL63" i="1" s="1"/>
  <c r="CP35" i="1"/>
  <c r="CT35" i="1"/>
  <c r="CX35" i="1"/>
  <c r="F62" i="1"/>
  <c r="J62" i="1"/>
  <c r="N62" i="1"/>
  <c r="R62" i="1"/>
  <c r="V62" i="1"/>
  <c r="Z62" i="1"/>
  <c r="AD62" i="1"/>
  <c r="AH62" i="1"/>
  <c r="AL62" i="1"/>
  <c r="AP62" i="1"/>
  <c r="AT62" i="1"/>
  <c r="AX62" i="1"/>
  <c r="BB62" i="1"/>
  <c r="BF62" i="1"/>
  <c r="BJ62" i="1"/>
  <c r="BN62" i="1"/>
  <c r="BR62" i="1"/>
  <c r="BV62" i="1"/>
  <c r="BZ62" i="1"/>
  <c r="CD62" i="1"/>
  <c r="CH62" i="1"/>
  <c r="CL62" i="1"/>
  <c r="CP62" i="1"/>
  <c r="CT62" i="1"/>
  <c r="CX62" i="1"/>
  <c r="F35" i="1"/>
  <c r="N35" i="1"/>
  <c r="V35" i="1"/>
  <c r="AD35" i="1"/>
  <c r="E35" i="1"/>
  <c r="I35" i="1"/>
  <c r="M35" i="1"/>
  <c r="Q35" i="1"/>
  <c r="U35" i="1"/>
  <c r="Y35" i="1"/>
  <c r="AC35" i="1"/>
  <c r="AG35" i="1"/>
  <c r="AK35" i="1"/>
  <c r="AO35" i="1"/>
  <c r="AS35" i="1"/>
  <c r="AW35" i="1"/>
  <c r="BA35" i="1"/>
  <c r="BE35" i="1"/>
  <c r="BI35" i="1"/>
  <c r="BM35" i="1"/>
  <c r="BQ35" i="1"/>
  <c r="BU35" i="1"/>
  <c r="BY35" i="1"/>
  <c r="CC35" i="1"/>
  <c r="CG35" i="1"/>
  <c r="CK35" i="1"/>
  <c r="CO35" i="1"/>
  <c r="CS35" i="1"/>
  <c r="CW35" i="1"/>
  <c r="E62" i="1"/>
  <c r="I62" i="1"/>
  <c r="M62" i="1"/>
  <c r="Q62" i="1"/>
  <c r="U62" i="1"/>
  <c r="Y62" i="1"/>
  <c r="AC62" i="1"/>
  <c r="AG62" i="1"/>
  <c r="AK62" i="1"/>
  <c r="AO62" i="1"/>
  <c r="AS62" i="1"/>
  <c r="AW62" i="1"/>
  <c r="BA62" i="1"/>
  <c r="BE62" i="1"/>
  <c r="BI62" i="1"/>
  <c r="BM62" i="1"/>
  <c r="BQ62" i="1"/>
  <c r="BU62" i="1"/>
  <c r="BY62" i="1"/>
  <c r="CC62" i="1"/>
  <c r="CG62" i="1"/>
  <c r="CK62" i="1"/>
  <c r="CO62" i="1"/>
  <c r="CS62" i="1"/>
  <c r="CW62" i="1"/>
  <c r="H35" i="1"/>
  <c r="P35" i="1"/>
  <c r="X35" i="1"/>
  <c r="AF35" i="1"/>
  <c r="AJ35" i="1"/>
  <c r="AN35" i="1"/>
  <c r="AR35" i="1"/>
  <c r="AV35" i="1"/>
  <c r="AZ35" i="1"/>
  <c r="BD35" i="1"/>
  <c r="BH35" i="1"/>
  <c r="BL35" i="1"/>
  <c r="BP35" i="1"/>
  <c r="BT35" i="1"/>
  <c r="BX35" i="1"/>
  <c r="CB35" i="1"/>
  <c r="CF35" i="1"/>
  <c r="CJ35" i="1"/>
  <c r="CN35" i="1"/>
  <c r="CR35" i="1"/>
  <c r="CV35" i="1"/>
  <c r="D62" i="1"/>
  <c r="H62" i="1"/>
  <c r="L62" i="1"/>
  <c r="L64" i="1" s="1"/>
  <c r="L65" i="1" s="1"/>
  <c r="P62" i="1"/>
  <c r="T62" i="1"/>
  <c r="T64" i="1" s="1"/>
  <c r="T65" i="1" s="1"/>
  <c r="X62" i="1"/>
  <c r="X64" i="1" s="1"/>
  <c r="X65" i="1" s="1"/>
  <c r="AB62" i="1"/>
  <c r="AF62" i="1"/>
  <c r="AJ62" i="1"/>
  <c r="AN62" i="1"/>
  <c r="AR62" i="1"/>
  <c r="AV62" i="1"/>
  <c r="AZ62" i="1"/>
  <c r="BD62" i="1"/>
  <c r="BH62" i="1"/>
  <c r="BL62" i="1"/>
  <c r="BP62" i="1"/>
  <c r="BT62" i="1"/>
  <c r="BX62" i="1"/>
  <c r="CB62" i="1"/>
  <c r="CF62" i="1"/>
  <c r="CJ62" i="1"/>
  <c r="CN62" i="1"/>
  <c r="CR62" i="1"/>
  <c r="CV62" i="1"/>
  <c r="AB64" i="1" l="1"/>
  <c r="AB65" i="1" s="1"/>
  <c r="CJ63" i="1"/>
  <c r="BL63" i="1"/>
  <c r="CK63" i="1"/>
  <c r="BN64" i="1"/>
  <c r="BN65" i="1" s="1"/>
  <c r="H63" i="1"/>
  <c r="AQ63" i="1"/>
  <c r="BJ63" i="1"/>
  <c r="CA64" i="1"/>
  <c r="CA65" i="1" s="1"/>
  <c r="Y64" i="1"/>
  <c r="Y65" i="1" s="1"/>
  <c r="N63" i="1"/>
  <c r="R63" i="1"/>
  <c r="AX63" i="1"/>
  <c r="AV64" i="1"/>
  <c r="AV65" i="1" s="1"/>
  <c r="AW63" i="1"/>
  <c r="BD63" i="1"/>
  <c r="AP64" i="1"/>
  <c r="AP65" i="1" s="1"/>
  <c r="S63" i="1"/>
  <c r="BC63" i="1"/>
  <c r="W63" i="1"/>
  <c r="G63" i="1"/>
  <c r="BT63" i="1"/>
  <c r="AN63" i="1"/>
  <c r="CN64" i="1"/>
  <c r="CN65" i="1" s="1"/>
  <c r="BH64" i="1"/>
  <c r="BH65" i="1" s="1"/>
  <c r="X63" i="1"/>
  <c r="CS64" i="1"/>
  <c r="CS65" i="1" s="1"/>
  <c r="CC64" i="1"/>
  <c r="CC65" i="1" s="1"/>
  <c r="AW64" i="1"/>
  <c r="AW65" i="1" s="1"/>
  <c r="BQ63" i="1"/>
  <c r="U63" i="1"/>
  <c r="BV63" i="1"/>
  <c r="BF64" i="1"/>
  <c r="BF65" i="1" s="1"/>
  <c r="AP63" i="1"/>
  <c r="CP63" i="1"/>
  <c r="BZ63" i="1"/>
  <c r="Z63" i="1"/>
  <c r="CQ63" i="1"/>
  <c r="CA63" i="1"/>
  <c r="AU64" i="1"/>
  <c r="AU65" i="1" s="1"/>
  <c r="AE63" i="1"/>
  <c r="CU64" i="1"/>
  <c r="CU65" i="1" s="1"/>
  <c r="BO63" i="1"/>
  <c r="S64" i="1"/>
  <c r="S65" i="1" s="1"/>
  <c r="L63" i="1"/>
  <c r="P64" i="1"/>
  <c r="P65" i="1" s="1"/>
  <c r="AS63" i="1"/>
  <c r="R64" i="1"/>
  <c r="R65" i="1" s="1"/>
  <c r="CN63" i="1"/>
  <c r="BH63" i="1"/>
  <c r="AR63" i="1"/>
  <c r="CW64" i="1"/>
  <c r="CW65" i="1" s="1"/>
  <c r="BQ64" i="1"/>
  <c r="BQ65" i="1" s="1"/>
  <c r="AK64" i="1"/>
  <c r="AK65" i="1" s="1"/>
  <c r="E64" i="1"/>
  <c r="E65" i="1" s="1"/>
  <c r="CP64" i="1"/>
  <c r="CP65" i="1" s="1"/>
  <c r="BJ64" i="1"/>
  <c r="BJ65" i="1" s="1"/>
  <c r="CE64" i="1"/>
  <c r="CE65" i="1" s="1"/>
  <c r="AY64" i="1"/>
  <c r="AY65" i="1" s="1"/>
  <c r="C64" i="1"/>
  <c r="C65" i="1" s="1"/>
  <c r="CU63" i="1"/>
  <c r="BT64" i="1"/>
  <c r="BT65" i="1" s="1"/>
  <c r="Z64" i="1"/>
  <c r="Z65" i="1" s="1"/>
  <c r="CQ64" i="1"/>
  <c r="CQ65" i="1" s="1"/>
  <c r="CR64" i="1"/>
  <c r="CR65" i="1" s="1"/>
  <c r="CB63" i="1"/>
  <c r="BL64" i="1"/>
  <c r="BL65" i="1" s="1"/>
  <c r="AV63" i="1"/>
  <c r="AF64" i="1"/>
  <c r="AF65" i="1" s="1"/>
  <c r="H64" i="1"/>
  <c r="H65" i="1" s="1"/>
  <c r="CK64" i="1"/>
  <c r="CK65" i="1" s="1"/>
  <c r="BU63" i="1"/>
  <c r="BE63" i="1"/>
  <c r="AO63" i="1"/>
  <c r="Y63" i="1"/>
  <c r="I64" i="1"/>
  <c r="I65" i="1" s="1"/>
  <c r="CT64" i="1"/>
  <c r="CT65" i="1" s="1"/>
  <c r="CD63" i="1"/>
  <c r="BN63" i="1"/>
  <c r="AX64" i="1"/>
  <c r="AX65" i="1" s="1"/>
  <c r="AH64" i="1"/>
  <c r="AH65" i="1" s="1"/>
  <c r="J63" i="1"/>
  <c r="CI63" i="1"/>
  <c r="BS63" i="1"/>
  <c r="BC64" i="1"/>
  <c r="BC65" i="1" s="1"/>
  <c r="AM63" i="1"/>
  <c r="W64" i="1"/>
  <c r="W65" i="1" s="1"/>
  <c r="G64" i="1"/>
  <c r="G65" i="1" s="1"/>
  <c r="BG63" i="1"/>
  <c r="BX63" i="1"/>
  <c r="CG64" i="1"/>
  <c r="CG65" i="1" s="1"/>
  <c r="BA64" i="1"/>
  <c r="BA65" i="1" s="1"/>
  <c r="U64" i="1"/>
  <c r="U65" i="1" s="1"/>
  <c r="BZ64" i="1"/>
  <c r="BZ65" i="1" s="1"/>
  <c r="AT64" i="1"/>
  <c r="AT65" i="1" s="1"/>
  <c r="BO64" i="1"/>
  <c r="BO65" i="1" s="1"/>
  <c r="AI64" i="1"/>
  <c r="AI65" i="1" s="1"/>
  <c r="D63" i="1"/>
  <c r="CJ64" i="1"/>
  <c r="CJ65" i="1" s="1"/>
  <c r="BD64" i="1"/>
  <c r="BD65" i="1" s="1"/>
  <c r="AN64" i="1"/>
  <c r="AN65" i="1" s="1"/>
  <c r="P63" i="1"/>
  <c r="CS63" i="1"/>
  <c r="CC63" i="1"/>
  <c r="BM63" i="1"/>
  <c r="AG63" i="1"/>
  <c r="Q63" i="1"/>
  <c r="F63" i="1"/>
  <c r="CL64" i="1"/>
  <c r="CL65" i="1" s="1"/>
  <c r="BV64" i="1"/>
  <c r="BV65" i="1" s="1"/>
  <c r="BF63" i="1"/>
  <c r="BK63" i="1"/>
  <c r="AU63" i="1"/>
  <c r="AE64" i="1"/>
  <c r="AE65" i="1" s="1"/>
  <c r="O63" i="1"/>
  <c r="CB64" i="1"/>
  <c r="CB65" i="1" s="1"/>
  <c r="AF63" i="1"/>
  <c r="CT63" i="1"/>
  <c r="J64" i="1"/>
  <c r="J65" i="1" s="1"/>
  <c r="CI64" i="1"/>
  <c r="CI65" i="1" s="1"/>
  <c r="BY64" i="1"/>
  <c r="BY65" i="1" s="1"/>
  <c r="AQ64" i="1"/>
  <c r="AQ65" i="1" s="1"/>
  <c r="K64" i="1"/>
  <c r="K65" i="1" s="1"/>
  <c r="CW63" i="1"/>
  <c r="E63" i="1"/>
  <c r="AT63" i="1"/>
  <c r="BE64" i="1"/>
  <c r="BE65" i="1" s="1"/>
  <c r="I63" i="1"/>
  <c r="AH63" i="1"/>
  <c r="N64" i="1"/>
  <c r="N65" i="1" s="1"/>
  <c r="CR63" i="1"/>
  <c r="CD64" i="1"/>
  <c r="CD65" i="1" s="1"/>
  <c r="AS64" i="1"/>
  <c r="AS65" i="1" s="1"/>
  <c r="AR64" i="1"/>
  <c r="AR65" i="1" s="1"/>
  <c r="CG63" i="1"/>
  <c r="AK63" i="1"/>
  <c r="K63" i="1"/>
  <c r="BX64" i="1"/>
  <c r="BX65" i="1" s="1"/>
  <c r="BA63" i="1"/>
  <c r="BY63" i="1"/>
  <c r="CE63" i="1"/>
  <c r="AI63" i="1"/>
  <c r="C63" i="1"/>
  <c r="AY63" i="1"/>
  <c r="AD63" i="1"/>
  <c r="CV63" i="1"/>
  <c r="CF63" i="1"/>
  <c r="BP63" i="1"/>
  <c r="AZ63" i="1"/>
  <c r="AJ63" i="1"/>
  <c r="CO63" i="1"/>
  <c r="BI63" i="1"/>
  <c r="AC63" i="1"/>
  <c r="M63" i="1"/>
  <c r="V63" i="1"/>
  <c r="CX63" i="1"/>
  <c r="CH63" i="1"/>
  <c r="BR63" i="1"/>
  <c r="BB63" i="1"/>
  <c r="AL63" i="1"/>
  <c r="CM63" i="1"/>
  <c r="BW63" i="1"/>
  <c r="AA63" i="1"/>
  <c r="T63" i="1"/>
  <c r="AB63" i="1"/>
  <c r="CV64" i="1"/>
  <c r="CV65" i="1" s="1"/>
  <c r="BP64" i="1"/>
  <c r="BP65" i="1" s="1"/>
  <c r="AJ64" i="1"/>
  <c r="AJ65" i="1" s="1"/>
  <c r="D64" i="1"/>
  <c r="D65" i="1" s="1"/>
  <c r="CO64" i="1"/>
  <c r="CO65" i="1" s="1"/>
  <c r="BU64" i="1"/>
  <c r="BU65" i="1" s="1"/>
  <c r="BM64" i="1"/>
  <c r="BM65" i="1" s="1"/>
  <c r="AO64" i="1"/>
  <c r="AO65" i="1" s="1"/>
  <c r="BI64" i="1"/>
  <c r="BI65" i="1" s="1"/>
  <c r="AG64" i="1"/>
  <c r="AG65" i="1" s="1"/>
  <c r="M64" i="1"/>
  <c r="M65" i="1" s="1"/>
  <c r="CX64" i="1"/>
  <c r="CX65" i="1" s="1"/>
  <c r="CH64" i="1"/>
  <c r="CH65" i="1" s="1"/>
  <c r="BR64" i="1"/>
  <c r="BR65" i="1" s="1"/>
  <c r="BB64" i="1"/>
  <c r="BB65" i="1" s="1"/>
  <c r="AL64" i="1"/>
  <c r="AL65" i="1" s="1"/>
  <c r="AD64" i="1"/>
  <c r="AD65" i="1" s="1"/>
  <c r="V64" i="1"/>
  <c r="V65" i="1" s="1"/>
  <c r="F64" i="1"/>
  <c r="F65" i="1" s="1"/>
  <c r="CM64" i="1"/>
  <c r="CM65" i="1" s="1"/>
  <c r="BS64" i="1"/>
  <c r="BS65" i="1" s="1"/>
  <c r="BK64" i="1"/>
  <c r="BK65" i="1" s="1"/>
  <c r="AM64" i="1"/>
  <c r="AM65" i="1" s="1"/>
  <c r="AA64" i="1"/>
  <c r="AA65" i="1" s="1"/>
  <c r="O64" i="1"/>
  <c r="O65" i="1" s="1"/>
  <c r="CF64" i="1"/>
  <c r="CF65" i="1" s="1"/>
  <c r="AZ64" i="1"/>
  <c r="AZ65" i="1" s="1"/>
  <c r="AC64" i="1"/>
  <c r="AC65" i="1" s="1"/>
  <c r="Q64" i="1"/>
  <c r="Q65" i="1" s="1"/>
</calcChain>
</file>

<file path=xl/sharedStrings.xml><?xml version="1.0" encoding="utf-8"?>
<sst xmlns="http://schemas.openxmlformats.org/spreadsheetml/2006/main" count="47" uniqueCount="38">
  <si>
    <t>ITEM ANALYSIS</t>
  </si>
  <si>
    <t>Major Exam:</t>
  </si>
  <si>
    <t>________ Prelim</t>
  </si>
  <si>
    <t>Subject:</t>
  </si>
  <si>
    <t>Student(s) who took the exam:</t>
  </si>
  <si>
    <t>________ Midterm</t>
  </si>
  <si>
    <t>________ Finals</t>
  </si>
  <si>
    <t>Description:</t>
  </si>
  <si>
    <t>HIGHEST</t>
  </si>
  <si>
    <t>Totals:</t>
  </si>
  <si>
    <t>pH</t>
  </si>
  <si>
    <t>LOWEST</t>
  </si>
  <si>
    <t>pL</t>
  </si>
  <si>
    <t>P</t>
  </si>
  <si>
    <t>Discrimination Index</t>
  </si>
  <si>
    <t>Discrimination Index Remark</t>
  </si>
  <si>
    <t>Legend (Index Remark):</t>
  </si>
  <si>
    <t>G - Good</t>
  </si>
  <si>
    <t>M- Marginal, Revise</t>
  </si>
  <si>
    <t>P - Poor, Reject</t>
  </si>
  <si>
    <t>Prepared by:</t>
  </si>
  <si>
    <t>Approved by:</t>
  </si>
  <si>
    <t>Department Chairperson</t>
  </si>
  <si>
    <t>Student Names</t>
  </si>
  <si>
    <t>Semester:</t>
  </si>
  <si>
    <t>Percentage (based on 27%):</t>
  </si>
  <si>
    <t>Round Up (Discrimination Index Factor):</t>
  </si>
  <si>
    <t>I  T  E  M    N  U  M  B  E  R</t>
  </si>
  <si>
    <t>Page1</t>
  </si>
  <si>
    <t>Page2</t>
  </si>
  <si>
    <t>Page1A</t>
  </si>
  <si>
    <t>Page1B</t>
  </si>
  <si>
    <t>Page1C</t>
  </si>
  <si>
    <t>Page2A</t>
  </si>
  <si>
    <t>Page2B</t>
  </si>
  <si>
    <t>Page2C</t>
  </si>
  <si>
    <t>Faculty</t>
  </si>
  <si>
    <t>Academic Year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</si>
</sst>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\-??_);_(@_)"/>
  </numFmts>
  <fonts count="19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charset val="1"/>
    </font>
    <font>
      <b/>
      <sz val="11"/>
      <name val="Arial Narrow"/>
      <family val="2"/>
    </font>
    <font>
      <u/>
      <sz val="11"/>
      <color theme="10"/>
      <name val="Arial Narrow"/>
      <family val="2"/>
    </font>
    <font>
      <sz val="12"/>
      <color rgb="FF000000"/>
      <name val="Arial Narrow"/>
      <family val="2"/>
    </font>
    <font>
      <sz val="11"/>
      <color rgb="FFFFFFFF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charset val="1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rgb="FFC00000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164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center"/>
      <protection locked="0"/>
    </xf>
    <xf numFmtId="1" fontId="6" fillId="0" borderId="3" xfId="0" applyNumberFormat="1" applyFont="1" applyBorder="1" applyAlignment="1" applyProtection="1">
      <alignment horizontal="center"/>
      <protection locked="0"/>
    </xf>
    <xf numFmtId="0" fontId="7" fillId="0" borderId="3" xfId="0" applyFont="1" applyBorder="1"/>
    <xf numFmtId="0" fontId="1" fillId="0" borderId="0" xfId="0" applyFont="1" applyBorder="1" applyAlignment="1" applyProtection="1">
      <protection locked="0"/>
    </xf>
    <xf numFmtId="0" fontId="4" fillId="0" borderId="0" xfId="0" applyFont="1" applyBorder="1" applyAlignment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2" fontId="7" fillId="0" borderId="9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2" fontId="7" fillId="0" borderId="4" xfId="0" applyNumberFormat="1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2" fontId="5" fillId="0" borderId="0" xfId="0" applyNumberFormat="1" applyFont="1" applyBorder="1" applyAlignment="1" applyProtection="1">
      <alignment horizontal="center"/>
    </xf>
    <xf numFmtId="0" fontId="6" fillId="0" borderId="0" xfId="0" applyFont="1" applyProtection="1">
      <protection locked="0"/>
    </xf>
    <xf numFmtId="0" fontId="6" fillId="0" borderId="0" xfId="0" applyFont="1" applyBorder="1" applyAlignment="1" applyProtection="1">
      <alignment horizontal="center"/>
      <protection locked="0"/>
    </xf>
    <xf numFmtId="1" fontId="5" fillId="0" borderId="0" xfId="0" applyNumberFormat="1" applyFont="1" applyBorder="1" applyAlignment="1" applyProtection="1">
      <alignment horizontal="center"/>
    </xf>
    <xf numFmtId="1" fontId="6" fillId="0" borderId="0" xfId="0" applyNumberFormat="1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protection locked="0"/>
    </xf>
    <xf numFmtId="0" fontId="5" fillId="0" borderId="2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11" fillId="0" borderId="0" xfId="0" applyFont="1" applyProtection="1">
      <protection locked="0"/>
    </xf>
    <xf numFmtId="164" fontId="7" fillId="0" borderId="0" xfId="1" applyFont="1" applyBorder="1" applyAlignment="1" applyProtection="1">
      <alignment horizontal="center"/>
    </xf>
    <xf numFmtId="0" fontId="12" fillId="0" borderId="0" xfId="0" applyFont="1" applyAlignment="1" applyProtection="1">
      <alignment horizontal="center"/>
      <protection locked="0"/>
    </xf>
    <xf numFmtId="1" fontId="6" fillId="0" borderId="3" xfId="0" applyNumberFormat="1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14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0" fillId="0" borderId="4" xfId="0" applyBorder="1" applyProtection="1">
      <protection locked="0"/>
    </xf>
    <xf numFmtId="164" fontId="7" fillId="0" borderId="4" xfId="1" applyFont="1" applyBorder="1" applyAlignment="1" applyProtection="1">
      <alignment horizontal="center"/>
    </xf>
    <xf numFmtId="0" fontId="5" fillId="0" borderId="4" xfId="0" applyFont="1" applyBorder="1" applyProtection="1">
      <protection locked="0"/>
    </xf>
    <xf numFmtId="0" fontId="15" fillId="0" borderId="4" xfId="0" applyFont="1" applyBorder="1" applyProtection="1">
      <protection locked="0"/>
    </xf>
    <xf numFmtId="0" fontId="16" fillId="0" borderId="4" xfId="0" applyFont="1" applyBorder="1" applyProtection="1">
      <protection locked="0"/>
    </xf>
    <xf numFmtId="0" fontId="17" fillId="0" borderId="4" xfId="0" applyFont="1" applyBorder="1" applyProtection="1">
      <protection locked="0"/>
    </xf>
    <xf numFmtId="0" fontId="18" fillId="0" borderId="4" xfId="0" applyFont="1" applyBorder="1" applyProtection="1">
      <protection locked="0"/>
    </xf>
    <xf numFmtId="0" fontId="0" fillId="0" borderId="0" xfId="0" applyBorder="1" applyProtection="1"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315377</xdr:colOff>
      <xdr:row>0</xdr:row>
      <xdr:rowOff>57150</xdr:rowOff>
    </xdr:from>
    <xdr:to>
      <xdr:col>27</xdr:col>
      <xdr:colOff>153452</xdr:colOff>
      <xdr:row>1</xdr:row>
      <xdr:rowOff>95250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761002" y="57150"/>
          <a:ext cx="17430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  FM-LPU-VPAR - 35 /01</a:t>
          </a: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19</xdr:col>
      <xdr:colOff>63500</xdr:colOff>
      <xdr:row>1</xdr:row>
      <xdr:rowOff>88900</xdr:rowOff>
    </xdr:from>
    <xdr:to>
      <xdr:col>26</xdr:col>
      <xdr:colOff>25400</xdr:colOff>
      <xdr:row>3</xdr:row>
      <xdr:rowOff>69850</xdr:rowOff>
    </xdr:to>
    <xdr:sp macro="" textlink="">
      <xdr:nvSpPr>
        <xdr:cNvPr id="2" name="Text Box 22"/>
        <xdr:cNvSpPr txBox="1">
          <a:spLocks noChangeArrowheads="1"/>
        </xdr:cNvSpPr>
      </xdr:nvSpPr>
      <xdr:spPr bwMode="auto">
        <a:xfrm>
          <a:off x="8366125" y="279400"/>
          <a:ext cx="2628900" cy="37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Office of the VP for Academics &amp; Research</a:t>
          </a:r>
        </a:p>
        <a:p>
          <a:pPr algn="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Telephone No. (043) 723-0706 loc. 110/109</a:t>
          </a:r>
        </a:p>
        <a:p>
          <a:pPr algn="l" rtl="1">
            <a:defRPr sz="1000"/>
          </a:pPr>
          <a:endParaRPr lang="en-US" sz="9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25978</xdr:rowOff>
    </xdr:from>
    <xdr:to>
      <xdr:col>2</xdr:col>
      <xdr:colOff>155864</xdr:colOff>
      <xdr:row>4</xdr:row>
      <xdr:rowOff>112568</xdr:rowOff>
    </xdr:to>
    <xdr:pic>
      <xdr:nvPicPr>
        <xdr:cNvPr id="5" name="Picture 4" descr="P1#y1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78"/>
          <a:ext cx="1982932" cy="8572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96"/>
  <sheetViews>
    <sheetView tabSelected="1" view="pageBreakPreview" zoomScale="110" zoomScaleSheetLayoutView="110" workbookViewId="0">
      <selection activeCell="C10" sqref="C10:D10"/>
    </sheetView>
  </sheetViews>
  <sheetFormatPr defaultColWidth="27" defaultRowHeight="15" x14ac:dyDescent="0.25"/>
  <cols>
    <col min="1" max="1" width="2.7109375" style="1" customWidth="1"/>
    <col min="2" max="2" width="24.7109375" style="1" customWidth="1"/>
    <col min="3" max="113" width="5.7109375" style="1" customWidth="1"/>
    <col min="114" max="1025" width="27" style="1"/>
  </cols>
  <sheetData>
    <row r="3" spans="1:116" ht="15.75" thickBot="1" x14ac:dyDescent="0.3">
      <c r="B3"/>
      <c r="AA3" s="47" t="s">
        <v>28</v>
      </c>
      <c r="AB3" s="51"/>
      <c r="BE3" s="49" t="s">
        <v>30</v>
      </c>
      <c r="BF3" s="44"/>
      <c r="CI3" s="49" t="s">
        <v>31</v>
      </c>
      <c r="CJ3" s="44"/>
      <c r="CX3" s="49" t="s">
        <v>32</v>
      </c>
    </row>
    <row r="8" spans="1:116" ht="15.75" x14ac:dyDescent="0.25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9"/>
      <c r="X8" s="9"/>
      <c r="Y8" s="9"/>
      <c r="Z8" s="9"/>
      <c r="AA8" s="9"/>
      <c r="AB8" s="9"/>
      <c r="AC8" s="9"/>
    </row>
    <row r="9" spans="1:116" ht="17.25" thickBot="1" x14ac:dyDescent="0.35">
      <c r="A9" s="11" t="s">
        <v>1</v>
      </c>
      <c r="B9" s="12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</row>
    <row r="10" spans="1:116" ht="17.25" customHeight="1" thickTop="1" thickBot="1" x14ac:dyDescent="0.35">
      <c r="A10" s="14" t="s">
        <v>2</v>
      </c>
      <c r="B10" s="12"/>
      <c r="C10" s="58" t="s">
        <v>37</v>
      </c>
      <c r="D10" s="58"/>
      <c r="E10" s="59"/>
      <c r="F10" s="59"/>
      <c r="G10" s="15"/>
      <c r="H10" s="16" t="s">
        <v>3</v>
      </c>
      <c r="I10" s="16"/>
      <c r="J10" s="61"/>
      <c r="K10" s="61"/>
      <c r="L10" s="61"/>
      <c r="M10" s="61"/>
      <c r="N10" s="17"/>
      <c r="Q10" s="12" t="s">
        <v>4</v>
      </c>
      <c r="R10" s="12"/>
      <c r="S10" s="12"/>
      <c r="T10" s="12"/>
      <c r="U10" s="12"/>
      <c r="V10" s="12"/>
      <c r="W10" s="13"/>
      <c r="X10" s="18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</row>
    <row r="11" spans="1:116" ht="17.25" thickBot="1" x14ac:dyDescent="0.35">
      <c r="A11" s="12" t="s">
        <v>5</v>
      </c>
      <c r="B11" s="12"/>
      <c r="C11" s="58" t="s">
        <v>24</v>
      </c>
      <c r="D11" s="58"/>
      <c r="E11" s="60"/>
      <c r="F11" s="60"/>
      <c r="G11" s="13"/>
      <c r="H11" s="19" t="s">
        <v>7</v>
      </c>
      <c r="I11" s="19"/>
      <c r="J11" s="62"/>
      <c r="K11" s="62"/>
      <c r="L11" s="62"/>
      <c r="M11" s="62"/>
      <c r="N11" s="20"/>
      <c r="Q11" s="58" t="s">
        <v>25</v>
      </c>
      <c r="R11" s="58"/>
      <c r="S11" s="58"/>
      <c r="T11" s="58"/>
      <c r="U11" s="58"/>
      <c r="V11" s="12"/>
      <c r="W11" s="13"/>
      <c r="X11" s="21">
        <f>X10*0.27</f>
        <v>0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</row>
    <row r="12" spans="1:116" ht="16.5" x14ac:dyDescent="0.3">
      <c r="A12" s="12" t="s">
        <v>6</v>
      </c>
      <c r="B12" s="26"/>
      <c r="C12" s="26"/>
      <c r="D12" s="13"/>
      <c r="E12" s="13"/>
      <c r="F12" s="13"/>
      <c r="G12" s="13"/>
      <c r="H12" s="13"/>
      <c r="I12" s="13"/>
      <c r="J12" s="19"/>
      <c r="K12" s="19"/>
      <c r="L12" s="19"/>
      <c r="M12" s="20"/>
      <c r="N12" s="20"/>
      <c r="Q12" s="12"/>
      <c r="R12" s="12"/>
      <c r="S12" s="12"/>
      <c r="T12" s="12"/>
      <c r="U12" s="12"/>
      <c r="V12" s="12"/>
      <c r="W12" s="13"/>
      <c r="X12" s="22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</row>
    <row r="13" spans="1:116" ht="16.5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9"/>
      <c r="K13" s="19"/>
      <c r="L13" s="19"/>
      <c r="M13" s="20"/>
      <c r="N13" s="20"/>
      <c r="Q13" s="12"/>
      <c r="R13" s="12"/>
      <c r="S13" s="12"/>
      <c r="T13" s="12"/>
      <c r="U13" s="12"/>
      <c r="V13" s="12"/>
      <c r="W13" s="13"/>
      <c r="X13" s="22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</row>
    <row r="14" spans="1:116" ht="17.25" thickBot="1" x14ac:dyDescent="0.35">
      <c r="A14" s="12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9"/>
      <c r="M14" s="19"/>
      <c r="N14" s="23"/>
      <c r="Q14" s="12" t="s">
        <v>26</v>
      </c>
      <c r="R14" s="12"/>
      <c r="S14" s="12"/>
      <c r="T14" s="12"/>
      <c r="U14" s="12"/>
      <c r="V14" s="12"/>
      <c r="W14" s="13"/>
      <c r="X14" s="24">
        <f>ROUNDUP(X11,0)</f>
        <v>0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</row>
    <row r="15" spans="1:116" ht="16.5" x14ac:dyDescent="0.3">
      <c r="A15" s="64" t="s">
        <v>8</v>
      </c>
      <c r="B15" s="64"/>
      <c r="C15" s="13"/>
      <c r="D15" s="13"/>
      <c r="E15" s="13"/>
      <c r="F15" s="13"/>
      <c r="G15" s="13"/>
      <c r="H15" s="13"/>
      <c r="I15" s="13"/>
      <c r="J15" s="13"/>
      <c r="K15" s="13"/>
      <c r="L15" s="19"/>
      <c r="M15" s="19"/>
      <c r="N15" s="23"/>
      <c r="O15" s="23"/>
      <c r="P15" s="23"/>
      <c r="Q15" s="2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</row>
    <row r="16" spans="1:116" ht="16.5" x14ac:dyDescent="0.3">
      <c r="A16" s="65" t="s">
        <v>23</v>
      </c>
      <c r="B16" s="65"/>
      <c r="C16" s="63" t="s">
        <v>27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 t="s">
        <v>27</v>
      </c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 t="s">
        <v>27</v>
      </c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 t="s">
        <v>27</v>
      </c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</row>
    <row r="17" spans="1:116" ht="16.5" x14ac:dyDescent="0.3">
      <c r="A17" s="65"/>
      <c r="B17" s="65"/>
      <c r="C17" s="6">
        <v>1</v>
      </c>
      <c r="D17" s="6">
        <v>2</v>
      </c>
      <c r="E17" s="6">
        <v>3</v>
      </c>
      <c r="F17" s="6">
        <v>4</v>
      </c>
      <c r="G17" s="6">
        <v>5</v>
      </c>
      <c r="H17" s="6">
        <v>6</v>
      </c>
      <c r="I17" s="6">
        <v>7</v>
      </c>
      <c r="J17" s="6">
        <v>8</v>
      </c>
      <c r="K17" s="6">
        <v>9</v>
      </c>
      <c r="L17" s="6">
        <v>10</v>
      </c>
      <c r="M17" s="6">
        <v>11</v>
      </c>
      <c r="N17" s="6">
        <v>12</v>
      </c>
      <c r="O17" s="6">
        <v>13</v>
      </c>
      <c r="P17" s="6">
        <v>14</v>
      </c>
      <c r="Q17" s="6">
        <v>15</v>
      </c>
      <c r="R17" s="6">
        <v>16</v>
      </c>
      <c r="S17" s="6">
        <v>17</v>
      </c>
      <c r="T17" s="6">
        <v>18</v>
      </c>
      <c r="U17" s="6">
        <v>19</v>
      </c>
      <c r="V17" s="6">
        <v>20</v>
      </c>
      <c r="W17" s="6">
        <v>21</v>
      </c>
      <c r="X17" s="6">
        <v>22</v>
      </c>
      <c r="Y17" s="6">
        <v>23</v>
      </c>
      <c r="Z17" s="6">
        <v>24</v>
      </c>
      <c r="AA17" s="6">
        <v>25</v>
      </c>
      <c r="AB17" s="6">
        <v>26</v>
      </c>
      <c r="AC17" s="6">
        <v>27</v>
      </c>
      <c r="AD17" s="6">
        <v>28</v>
      </c>
      <c r="AE17" s="6">
        <v>29</v>
      </c>
      <c r="AF17" s="6">
        <v>30</v>
      </c>
      <c r="AG17" s="6">
        <v>31</v>
      </c>
      <c r="AH17" s="6">
        <v>32</v>
      </c>
      <c r="AI17" s="6">
        <v>33</v>
      </c>
      <c r="AJ17" s="6">
        <v>34</v>
      </c>
      <c r="AK17" s="6">
        <v>35</v>
      </c>
      <c r="AL17" s="6">
        <v>36</v>
      </c>
      <c r="AM17" s="6">
        <v>37</v>
      </c>
      <c r="AN17" s="6">
        <v>38</v>
      </c>
      <c r="AO17" s="6">
        <v>39</v>
      </c>
      <c r="AP17" s="6">
        <v>40</v>
      </c>
      <c r="AQ17" s="6">
        <v>41</v>
      </c>
      <c r="AR17" s="6">
        <v>42</v>
      </c>
      <c r="AS17" s="6">
        <v>43</v>
      </c>
      <c r="AT17" s="6">
        <v>44</v>
      </c>
      <c r="AU17" s="6">
        <v>45</v>
      </c>
      <c r="AV17" s="6">
        <v>46</v>
      </c>
      <c r="AW17" s="6">
        <v>47</v>
      </c>
      <c r="AX17" s="6">
        <v>48</v>
      </c>
      <c r="AY17" s="6">
        <v>49</v>
      </c>
      <c r="AZ17" s="6">
        <v>50</v>
      </c>
      <c r="BA17" s="6">
        <v>51</v>
      </c>
      <c r="BB17" s="6">
        <v>52</v>
      </c>
      <c r="BC17" s="6">
        <v>53</v>
      </c>
      <c r="BD17" s="6">
        <v>54</v>
      </c>
      <c r="BE17" s="6">
        <v>55</v>
      </c>
      <c r="BF17" s="6">
        <v>56</v>
      </c>
      <c r="BG17" s="6">
        <v>57</v>
      </c>
      <c r="BH17" s="6">
        <v>58</v>
      </c>
      <c r="BI17" s="6">
        <v>59</v>
      </c>
      <c r="BJ17" s="6">
        <v>60</v>
      </c>
      <c r="BK17" s="6">
        <v>61</v>
      </c>
      <c r="BL17" s="6">
        <v>62</v>
      </c>
      <c r="BM17" s="6">
        <v>63</v>
      </c>
      <c r="BN17" s="6">
        <v>64</v>
      </c>
      <c r="BO17" s="6">
        <v>65</v>
      </c>
      <c r="BP17" s="6">
        <v>66</v>
      </c>
      <c r="BQ17" s="6">
        <v>67</v>
      </c>
      <c r="BR17" s="6">
        <v>68</v>
      </c>
      <c r="BS17" s="6">
        <v>69</v>
      </c>
      <c r="BT17" s="6">
        <v>70</v>
      </c>
      <c r="BU17" s="6">
        <v>71</v>
      </c>
      <c r="BV17" s="6">
        <v>72</v>
      </c>
      <c r="BW17" s="6">
        <v>73</v>
      </c>
      <c r="BX17" s="6">
        <v>74</v>
      </c>
      <c r="BY17" s="6">
        <v>75</v>
      </c>
      <c r="BZ17" s="6">
        <v>76</v>
      </c>
      <c r="CA17" s="6">
        <v>77</v>
      </c>
      <c r="CB17" s="6">
        <v>78</v>
      </c>
      <c r="CC17" s="6">
        <v>79</v>
      </c>
      <c r="CD17" s="6">
        <v>80</v>
      </c>
      <c r="CE17" s="6">
        <v>81</v>
      </c>
      <c r="CF17" s="6">
        <v>82</v>
      </c>
      <c r="CG17" s="6">
        <v>83</v>
      </c>
      <c r="CH17" s="6">
        <v>84</v>
      </c>
      <c r="CI17" s="6">
        <v>85</v>
      </c>
      <c r="CJ17" s="6">
        <v>86</v>
      </c>
      <c r="CK17" s="6">
        <v>87</v>
      </c>
      <c r="CL17" s="6">
        <v>88</v>
      </c>
      <c r="CM17" s="6">
        <v>89</v>
      </c>
      <c r="CN17" s="6">
        <v>90</v>
      </c>
      <c r="CO17" s="6">
        <v>91</v>
      </c>
      <c r="CP17" s="6">
        <v>92</v>
      </c>
      <c r="CQ17" s="6">
        <v>93</v>
      </c>
      <c r="CR17" s="6">
        <v>94</v>
      </c>
      <c r="CS17" s="6">
        <v>95</v>
      </c>
      <c r="CT17" s="6">
        <v>96</v>
      </c>
      <c r="CU17" s="6">
        <v>97</v>
      </c>
      <c r="CV17" s="6">
        <v>98</v>
      </c>
      <c r="CW17" s="6">
        <v>99</v>
      </c>
      <c r="CX17" s="6">
        <v>100</v>
      </c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</row>
    <row r="18" spans="1:116" ht="16.5" x14ac:dyDescent="0.3">
      <c r="A18" s="3">
        <v>1</v>
      </c>
      <c r="B18" s="42"/>
      <c r="C18" s="43"/>
      <c r="D18" s="4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</row>
    <row r="19" spans="1:116" ht="16.5" x14ac:dyDescent="0.3">
      <c r="A19" s="3">
        <v>2</v>
      </c>
      <c r="B19" s="42"/>
      <c r="C19" s="43"/>
      <c r="D19" s="4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</row>
    <row r="20" spans="1:116" ht="16.5" x14ac:dyDescent="0.3">
      <c r="A20" s="3">
        <v>3</v>
      </c>
      <c r="B20" s="42"/>
      <c r="C20" s="43"/>
      <c r="D20" s="4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</row>
    <row r="21" spans="1:116" ht="16.5" x14ac:dyDescent="0.3">
      <c r="A21" s="3">
        <v>4</v>
      </c>
      <c r="B21" s="42"/>
      <c r="C21" s="43"/>
      <c r="D21" s="4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</row>
    <row r="22" spans="1:116" ht="16.5" x14ac:dyDescent="0.3">
      <c r="A22" s="3">
        <v>5</v>
      </c>
      <c r="B22" s="42"/>
      <c r="C22" s="43"/>
      <c r="D22" s="4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</row>
    <row r="23" spans="1:116" ht="16.5" x14ac:dyDescent="0.3">
      <c r="A23" s="3">
        <v>6</v>
      </c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</row>
    <row r="24" spans="1:116" ht="16.5" x14ac:dyDescent="0.3">
      <c r="A24" s="3">
        <v>7</v>
      </c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</row>
    <row r="25" spans="1:116" ht="16.5" x14ac:dyDescent="0.3">
      <c r="A25" s="3">
        <v>8</v>
      </c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</row>
    <row r="26" spans="1:116" ht="16.5" x14ac:dyDescent="0.3">
      <c r="A26" s="3">
        <v>9</v>
      </c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</row>
    <row r="27" spans="1:116" ht="16.5" x14ac:dyDescent="0.3">
      <c r="A27" s="3">
        <v>10</v>
      </c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</row>
    <row r="28" spans="1:116" ht="16.5" x14ac:dyDescent="0.3">
      <c r="A28" s="3">
        <v>11</v>
      </c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</row>
    <row r="29" spans="1:116" ht="16.5" x14ac:dyDescent="0.3">
      <c r="A29" s="3">
        <v>12</v>
      </c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</row>
    <row r="30" spans="1:116" ht="16.5" x14ac:dyDescent="0.3">
      <c r="A30" s="3">
        <v>13</v>
      </c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</row>
    <row r="31" spans="1:116" ht="16.5" x14ac:dyDescent="0.3">
      <c r="A31" s="3">
        <v>14</v>
      </c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</row>
    <row r="32" spans="1:116" ht="16.5" x14ac:dyDescent="0.3">
      <c r="A32" s="3">
        <v>15</v>
      </c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</row>
    <row r="33" spans="1:116" ht="16.5" x14ac:dyDescent="0.3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</row>
    <row r="34" spans="1:116" s="2" customFormat="1" ht="16.5" x14ac:dyDescent="0.3">
      <c r="A34" s="5" t="s">
        <v>9</v>
      </c>
      <c r="B34" s="6"/>
      <c r="C34" s="7">
        <f t="shared" ref="C34:AH34" si="0">COUNTIF(C18:C33, "1")</f>
        <v>0</v>
      </c>
      <c r="D34" s="7">
        <f t="shared" si="0"/>
        <v>0</v>
      </c>
      <c r="E34" s="7">
        <f t="shared" si="0"/>
        <v>0</v>
      </c>
      <c r="F34" s="7">
        <f t="shared" si="0"/>
        <v>0</v>
      </c>
      <c r="G34" s="7">
        <f t="shared" si="0"/>
        <v>0</v>
      </c>
      <c r="H34" s="7">
        <f t="shared" si="0"/>
        <v>0</v>
      </c>
      <c r="I34" s="7">
        <f t="shared" si="0"/>
        <v>0</v>
      </c>
      <c r="J34" s="7">
        <f t="shared" si="0"/>
        <v>0</v>
      </c>
      <c r="K34" s="7">
        <f t="shared" si="0"/>
        <v>0</v>
      </c>
      <c r="L34" s="7">
        <f t="shared" si="0"/>
        <v>0</v>
      </c>
      <c r="M34" s="7">
        <f t="shared" si="0"/>
        <v>0</v>
      </c>
      <c r="N34" s="7">
        <f t="shared" si="0"/>
        <v>0</v>
      </c>
      <c r="O34" s="7">
        <f t="shared" si="0"/>
        <v>0</v>
      </c>
      <c r="P34" s="7">
        <f t="shared" si="0"/>
        <v>0</v>
      </c>
      <c r="Q34" s="7">
        <f t="shared" si="0"/>
        <v>0</v>
      </c>
      <c r="R34" s="7">
        <f t="shared" si="0"/>
        <v>0</v>
      </c>
      <c r="S34" s="7">
        <f t="shared" si="0"/>
        <v>0</v>
      </c>
      <c r="T34" s="7">
        <f t="shared" si="0"/>
        <v>0</v>
      </c>
      <c r="U34" s="7">
        <f t="shared" si="0"/>
        <v>0</v>
      </c>
      <c r="V34" s="7">
        <f t="shared" si="0"/>
        <v>0</v>
      </c>
      <c r="W34" s="7">
        <f t="shared" si="0"/>
        <v>0</v>
      </c>
      <c r="X34" s="7">
        <f t="shared" si="0"/>
        <v>0</v>
      </c>
      <c r="Y34" s="7">
        <f t="shared" si="0"/>
        <v>0</v>
      </c>
      <c r="Z34" s="7">
        <f t="shared" si="0"/>
        <v>0</v>
      </c>
      <c r="AA34" s="7">
        <f t="shared" si="0"/>
        <v>0</v>
      </c>
      <c r="AB34" s="7">
        <f t="shared" si="0"/>
        <v>0</v>
      </c>
      <c r="AC34" s="7">
        <f t="shared" si="0"/>
        <v>0</v>
      </c>
      <c r="AD34" s="7">
        <f t="shared" si="0"/>
        <v>0</v>
      </c>
      <c r="AE34" s="7">
        <f t="shared" si="0"/>
        <v>0</v>
      </c>
      <c r="AF34" s="7">
        <f t="shared" si="0"/>
        <v>0</v>
      </c>
      <c r="AG34" s="7">
        <f t="shared" si="0"/>
        <v>0</v>
      </c>
      <c r="AH34" s="7">
        <f t="shared" si="0"/>
        <v>0</v>
      </c>
      <c r="AI34" s="7">
        <f t="shared" ref="AI34:BN34" si="1">COUNTIF(AI18:AI33, "1")</f>
        <v>0</v>
      </c>
      <c r="AJ34" s="7">
        <f t="shared" si="1"/>
        <v>0</v>
      </c>
      <c r="AK34" s="7">
        <f t="shared" si="1"/>
        <v>0</v>
      </c>
      <c r="AL34" s="7">
        <f t="shared" si="1"/>
        <v>0</v>
      </c>
      <c r="AM34" s="7">
        <f t="shared" si="1"/>
        <v>0</v>
      </c>
      <c r="AN34" s="7">
        <f t="shared" si="1"/>
        <v>0</v>
      </c>
      <c r="AO34" s="7">
        <f t="shared" si="1"/>
        <v>0</v>
      </c>
      <c r="AP34" s="7">
        <f t="shared" si="1"/>
        <v>0</v>
      </c>
      <c r="AQ34" s="7">
        <f t="shared" si="1"/>
        <v>0</v>
      </c>
      <c r="AR34" s="7">
        <f t="shared" si="1"/>
        <v>0</v>
      </c>
      <c r="AS34" s="7">
        <f t="shared" si="1"/>
        <v>0</v>
      </c>
      <c r="AT34" s="7">
        <f t="shared" si="1"/>
        <v>0</v>
      </c>
      <c r="AU34" s="7">
        <f t="shared" si="1"/>
        <v>0</v>
      </c>
      <c r="AV34" s="7">
        <f t="shared" si="1"/>
        <v>0</v>
      </c>
      <c r="AW34" s="7">
        <f t="shared" si="1"/>
        <v>0</v>
      </c>
      <c r="AX34" s="7">
        <f t="shared" si="1"/>
        <v>0</v>
      </c>
      <c r="AY34" s="7">
        <f t="shared" si="1"/>
        <v>0</v>
      </c>
      <c r="AZ34" s="7">
        <f t="shared" si="1"/>
        <v>0</v>
      </c>
      <c r="BA34" s="7">
        <f t="shared" si="1"/>
        <v>0</v>
      </c>
      <c r="BB34" s="7">
        <f t="shared" si="1"/>
        <v>0</v>
      </c>
      <c r="BC34" s="7">
        <f t="shared" si="1"/>
        <v>0</v>
      </c>
      <c r="BD34" s="7">
        <f t="shared" si="1"/>
        <v>0</v>
      </c>
      <c r="BE34" s="7">
        <f t="shared" si="1"/>
        <v>0</v>
      </c>
      <c r="BF34" s="7">
        <f t="shared" si="1"/>
        <v>0</v>
      </c>
      <c r="BG34" s="7">
        <f t="shared" si="1"/>
        <v>0</v>
      </c>
      <c r="BH34" s="7">
        <f t="shared" si="1"/>
        <v>0</v>
      </c>
      <c r="BI34" s="7">
        <f t="shared" si="1"/>
        <v>0</v>
      </c>
      <c r="BJ34" s="7">
        <f t="shared" si="1"/>
        <v>0</v>
      </c>
      <c r="BK34" s="7">
        <f t="shared" si="1"/>
        <v>0</v>
      </c>
      <c r="BL34" s="7">
        <f t="shared" si="1"/>
        <v>0</v>
      </c>
      <c r="BM34" s="7">
        <f t="shared" si="1"/>
        <v>0</v>
      </c>
      <c r="BN34" s="7">
        <f t="shared" si="1"/>
        <v>0</v>
      </c>
      <c r="BO34" s="7">
        <f t="shared" ref="BO34:CT34" si="2">COUNTIF(BO18:BO33, "1")</f>
        <v>0</v>
      </c>
      <c r="BP34" s="7">
        <f t="shared" si="2"/>
        <v>0</v>
      </c>
      <c r="BQ34" s="7">
        <f t="shared" si="2"/>
        <v>0</v>
      </c>
      <c r="BR34" s="7">
        <f t="shared" si="2"/>
        <v>0</v>
      </c>
      <c r="BS34" s="7">
        <f t="shared" si="2"/>
        <v>0</v>
      </c>
      <c r="BT34" s="7">
        <f t="shared" si="2"/>
        <v>0</v>
      </c>
      <c r="BU34" s="7">
        <f t="shared" si="2"/>
        <v>0</v>
      </c>
      <c r="BV34" s="7">
        <f t="shared" si="2"/>
        <v>0</v>
      </c>
      <c r="BW34" s="7">
        <f t="shared" si="2"/>
        <v>0</v>
      </c>
      <c r="BX34" s="7">
        <f t="shared" si="2"/>
        <v>0</v>
      </c>
      <c r="BY34" s="7">
        <f t="shared" si="2"/>
        <v>0</v>
      </c>
      <c r="BZ34" s="7">
        <f t="shared" si="2"/>
        <v>0</v>
      </c>
      <c r="CA34" s="7">
        <f t="shared" si="2"/>
        <v>0</v>
      </c>
      <c r="CB34" s="7">
        <f t="shared" si="2"/>
        <v>0</v>
      </c>
      <c r="CC34" s="7">
        <f t="shared" si="2"/>
        <v>0</v>
      </c>
      <c r="CD34" s="7">
        <f t="shared" si="2"/>
        <v>0</v>
      </c>
      <c r="CE34" s="7">
        <f t="shared" si="2"/>
        <v>0</v>
      </c>
      <c r="CF34" s="7">
        <f t="shared" si="2"/>
        <v>0</v>
      </c>
      <c r="CG34" s="7">
        <f t="shared" si="2"/>
        <v>0</v>
      </c>
      <c r="CH34" s="7">
        <f t="shared" si="2"/>
        <v>0</v>
      </c>
      <c r="CI34" s="7">
        <f t="shared" si="2"/>
        <v>0</v>
      </c>
      <c r="CJ34" s="7">
        <f t="shared" si="2"/>
        <v>0</v>
      </c>
      <c r="CK34" s="7">
        <f t="shared" si="2"/>
        <v>0</v>
      </c>
      <c r="CL34" s="7">
        <f t="shared" si="2"/>
        <v>0</v>
      </c>
      <c r="CM34" s="7">
        <f t="shared" si="2"/>
        <v>0</v>
      </c>
      <c r="CN34" s="7">
        <f t="shared" si="2"/>
        <v>0</v>
      </c>
      <c r="CO34" s="7">
        <f t="shared" si="2"/>
        <v>0</v>
      </c>
      <c r="CP34" s="7">
        <f t="shared" si="2"/>
        <v>0</v>
      </c>
      <c r="CQ34" s="7">
        <f t="shared" si="2"/>
        <v>0</v>
      </c>
      <c r="CR34" s="7">
        <f t="shared" si="2"/>
        <v>0</v>
      </c>
      <c r="CS34" s="7">
        <f t="shared" si="2"/>
        <v>0</v>
      </c>
      <c r="CT34" s="7">
        <f t="shared" si="2"/>
        <v>0</v>
      </c>
      <c r="CU34" s="7">
        <f t="shared" ref="CU34:CX34" si="3">COUNTIF(CU18:CU33, "1")</f>
        <v>0</v>
      </c>
      <c r="CV34" s="7">
        <f t="shared" si="3"/>
        <v>0</v>
      </c>
      <c r="CW34" s="7">
        <f t="shared" si="3"/>
        <v>0</v>
      </c>
      <c r="CX34" s="7">
        <f t="shared" si="3"/>
        <v>0</v>
      </c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</row>
    <row r="35" spans="1:116" ht="16.5" x14ac:dyDescent="0.3">
      <c r="A35" s="13"/>
      <c r="B35" s="26" t="s">
        <v>10</v>
      </c>
      <c r="C35" s="38" t="e">
        <f>C34/$X$14</f>
        <v>#DIV/0!</v>
      </c>
      <c r="D35" s="38" t="e">
        <f t="shared" ref="D35:AH35" si="4">D34/$X$14</f>
        <v>#DIV/0!</v>
      </c>
      <c r="E35" s="38" t="e">
        <f t="shared" si="4"/>
        <v>#DIV/0!</v>
      </c>
      <c r="F35" s="38" t="e">
        <f t="shared" si="4"/>
        <v>#DIV/0!</v>
      </c>
      <c r="G35" s="38" t="e">
        <f t="shared" si="4"/>
        <v>#DIV/0!</v>
      </c>
      <c r="H35" s="38" t="e">
        <f t="shared" si="4"/>
        <v>#DIV/0!</v>
      </c>
      <c r="I35" s="38" t="e">
        <f t="shared" si="4"/>
        <v>#DIV/0!</v>
      </c>
      <c r="J35" s="38" t="e">
        <f t="shared" si="4"/>
        <v>#DIV/0!</v>
      </c>
      <c r="K35" s="38" t="e">
        <f t="shared" si="4"/>
        <v>#DIV/0!</v>
      </c>
      <c r="L35" s="38" t="e">
        <f t="shared" si="4"/>
        <v>#DIV/0!</v>
      </c>
      <c r="M35" s="38" t="e">
        <f t="shared" si="4"/>
        <v>#DIV/0!</v>
      </c>
      <c r="N35" s="38" t="e">
        <f t="shared" si="4"/>
        <v>#DIV/0!</v>
      </c>
      <c r="O35" s="38" t="e">
        <f t="shared" si="4"/>
        <v>#DIV/0!</v>
      </c>
      <c r="P35" s="38" t="e">
        <f t="shared" si="4"/>
        <v>#DIV/0!</v>
      </c>
      <c r="Q35" s="38" t="e">
        <f t="shared" si="4"/>
        <v>#DIV/0!</v>
      </c>
      <c r="R35" s="38" t="e">
        <f t="shared" si="4"/>
        <v>#DIV/0!</v>
      </c>
      <c r="S35" s="38" t="e">
        <f t="shared" si="4"/>
        <v>#DIV/0!</v>
      </c>
      <c r="T35" s="38" t="e">
        <f t="shared" si="4"/>
        <v>#DIV/0!</v>
      </c>
      <c r="U35" s="38" t="e">
        <f t="shared" si="4"/>
        <v>#DIV/0!</v>
      </c>
      <c r="V35" s="38" t="e">
        <f t="shared" si="4"/>
        <v>#DIV/0!</v>
      </c>
      <c r="W35" s="38" t="e">
        <f t="shared" si="4"/>
        <v>#DIV/0!</v>
      </c>
      <c r="X35" s="38" t="e">
        <f t="shared" si="4"/>
        <v>#DIV/0!</v>
      </c>
      <c r="Y35" s="38" t="e">
        <f t="shared" si="4"/>
        <v>#DIV/0!</v>
      </c>
      <c r="Z35" s="38" t="e">
        <f t="shared" si="4"/>
        <v>#DIV/0!</v>
      </c>
      <c r="AA35" s="38" t="e">
        <f t="shared" si="4"/>
        <v>#DIV/0!</v>
      </c>
      <c r="AB35" s="38" t="e">
        <f t="shared" si="4"/>
        <v>#DIV/0!</v>
      </c>
      <c r="AC35" s="38" t="e">
        <f t="shared" si="4"/>
        <v>#DIV/0!</v>
      </c>
      <c r="AD35" s="38" t="e">
        <f t="shared" si="4"/>
        <v>#DIV/0!</v>
      </c>
      <c r="AE35" s="38" t="e">
        <f t="shared" si="4"/>
        <v>#DIV/0!</v>
      </c>
      <c r="AF35" s="38" t="e">
        <f t="shared" si="4"/>
        <v>#DIV/0!</v>
      </c>
      <c r="AG35" s="38" t="e">
        <f t="shared" si="4"/>
        <v>#DIV/0!</v>
      </c>
      <c r="AH35" s="38" t="e">
        <f t="shared" si="4"/>
        <v>#DIV/0!</v>
      </c>
      <c r="AI35" s="38" t="e">
        <f t="shared" ref="AI35:BN35" si="5">AI34/$X$14</f>
        <v>#DIV/0!</v>
      </c>
      <c r="AJ35" s="38" t="e">
        <f t="shared" si="5"/>
        <v>#DIV/0!</v>
      </c>
      <c r="AK35" s="38" t="e">
        <f t="shared" si="5"/>
        <v>#DIV/0!</v>
      </c>
      <c r="AL35" s="38" t="e">
        <f t="shared" si="5"/>
        <v>#DIV/0!</v>
      </c>
      <c r="AM35" s="38" t="e">
        <f t="shared" si="5"/>
        <v>#DIV/0!</v>
      </c>
      <c r="AN35" s="38" t="e">
        <f t="shared" si="5"/>
        <v>#DIV/0!</v>
      </c>
      <c r="AO35" s="38" t="e">
        <f t="shared" si="5"/>
        <v>#DIV/0!</v>
      </c>
      <c r="AP35" s="38" t="e">
        <f t="shared" si="5"/>
        <v>#DIV/0!</v>
      </c>
      <c r="AQ35" s="38" t="e">
        <f t="shared" si="5"/>
        <v>#DIV/0!</v>
      </c>
      <c r="AR35" s="38" t="e">
        <f t="shared" si="5"/>
        <v>#DIV/0!</v>
      </c>
      <c r="AS35" s="38" t="e">
        <f t="shared" si="5"/>
        <v>#DIV/0!</v>
      </c>
      <c r="AT35" s="38" t="e">
        <f t="shared" si="5"/>
        <v>#DIV/0!</v>
      </c>
      <c r="AU35" s="38" t="e">
        <f t="shared" si="5"/>
        <v>#DIV/0!</v>
      </c>
      <c r="AV35" s="38" t="e">
        <f t="shared" si="5"/>
        <v>#DIV/0!</v>
      </c>
      <c r="AW35" s="38" t="e">
        <f t="shared" si="5"/>
        <v>#DIV/0!</v>
      </c>
      <c r="AX35" s="38" t="e">
        <f t="shared" si="5"/>
        <v>#DIV/0!</v>
      </c>
      <c r="AY35" s="38" t="e">
        <f t="shared" si="5"/>
        <v>#DIV/0!</v>
      </c>
      <c r="AZ35" s="38" t="e">
        <f t="shared" si="5"/>
        <v>#DIV/0!</v>
      </c>
      <c r="BA35" s="38" t="e">
        <f t="shared" si="5"/>
        <v>#DIV/0!</v>
      </c>
      <c r="BB35" s="38" t="e">
        <f t="shared" si="5"/>
        <v>#DIV/0!</v>
      </c>
      <c r="BC35" s="38" t="e">
        <f t="shared" si="5"/>
        <v>#DIV/0!</v>
      </c>
      <c r="BD35" s="38" t="e">
        <f t="shared" si="5"/>
        <v>#DIV/0!</v>
      </c>
      <c r="BE35" s="38" t="e">
        <f t="shared" si="5"/>
        <v>#DIV/0!</v>
      </c>
      <c r="BF35" s="38" t="e">
        <f t="shared" si="5"/>
        <v>#DIV/0!</v>
      </c>
      <c r="BG35" s="38" t="e">
        <f t="shared" si="5"/>
        <v>#DIV/0!</v>
      </c>
      <c r="BH35" s="38" t="e">
        <f t="shared" si="5"/>
        <v>#DIV/0!</v>
      </c>
      <c r="BI35" s="38" t="e">
        <f t="shared" si="5"/>
        <v>#DIV/0!</v>
      </c>
      <c r="BJ35" s="38" t="e">
        <f t="shared" si="5"/>
        <v>#DIV/0!</v>
      </c>
      <c r="BK35" s="38" t="e">
        <f t="shared" si="5"/>
        <v>#DIV/0!</v>
      </c>
      <c r="BL35" s="38" t="e">
        <f t="shared" si="5"/>
        <v>#DIV/0!</v>
      </c>
      <c r="BM35" s="38" t="e">
        <f t="shared" si="5"/>
        <v>#DIV/0!</v>
      </c>
      <c r="BN35" s="38" t="e">
        <f t="shared" si="5"/>
        <v>#DIV/0!</v>
      </c>
      <c r="BO35" s="38" t="e">
        <f t="shared" ref="BO35:CT35" si="6">BO34/$X$14</f>
        <v>#DIV/0!</v>
      </c>
      <c r="BP35" s="38" t="e">
        <f t="shared" si="6"/>
        <v>#DIV/0!</v>
      </c>
      <c r="BQ35" s="38" t="e">
        <f t="shared" si="6"/>
        <v>#DIV/0!</v>
      </c>
      <c r="BR35" s="38" t="e">
        <f t="shared" si="6"/>
        <v>#DIV/0!</v>
      </c>
      <c r="BS35" s="38" t="e">
        <f t="shared" si="6"/>
        <v>#DIV/0!</v>
      </c>
      <c r="BT35" s="38" t="e">
        <f t="shared" si="6"/>
        <v>#DIV/0!</v>
      </c>
      <c r="BU35" s="38" t="e">
        <f t="shared" si="6"/>
        <v>#DIV/0!</v>
      </c>
      <c r="BV35" s="38" t="e">
        <f t="shared" si="6"/>
        <v>#DIV/0!</v>
      </c>
      <c r="BW35" s="38" t="e">
        <f t="shared" si="6"/>
        <v>#DIV/0!</v>
      </c>
      <c r="BX35" s="38" t="e">
        <f t="shared" si="6"/>
        <v>#DIV/0!</v>
      </c>
      <c r="BY35" s="38" t="e">
        <f t="shared" si="6"/>
        <v>#DIV/0!</v>
      </c>
      <c r="BZ35" s="38" t="e">
        <f t="shared" si="6"/>
        <v>#DIV/0!</v>
      </c>
      <c r="CA35" s="38" t="e">
        <f t="shared" si="6"/>
        <v>#DIV/0!</v>
      </c>
      <c r="CB35" s="38" t="e">
        <f t="shared" si="6"/>
        <v>#DIV/0!</v>
      </c>
      <c r="CC35" s="38" t="e">
        <f t="shared" si="6"/>
        <v>#DIV/0!</v>
      </c>
      <c r="CD35" s="38" t="e">
        <f t="shared" si="6"/>
        <v>#DIV/0!</v>
      </c>
      <c r="CE35" s="38" t="e">
        <f t="shared" si="6"/>
        <v>#DIV/0!</v>
      </c>
      <c r="CF35" s="38" t="e">
        <f t="shared" si="6"/>
        <v>#DIV/0!</v>
      </c>
      <c r="CG35" s="38" t="e">
        <f t="shared" si="6"/>
        <v>#DIV/0!</v>
      </c>
      <c r="CH35" s="38" t="e">
        <f t="shared" si="6"/>
        <v>#DIV/0!</v>
      </c>
      <c r="CI35" s="38" t="e">
        <f t="shared" si="6"/>
        <v>#DIV/0!</v>
      </c>
      <c r="CJ35" s="38" t="e">
        <f t="shared" si="6"/>
        <v>#DIV/0!</v>
      </c>
      <c r="CK35" s="38" t="e">
        <f t="shared" si="6"/>
        <v>#DIV/0!</v>
      </c>
      <c r="CL35" s="38" t="e">
        <f t="shared" si="6"/>
        <v>#DIV/0!</v>
      </c>
      <c r="CM35" s="38" t="e">
        <f t="shared" si="6"/>
        <v>#DIV/0!</v>
      </c>
      <c r="CN35" s="38" t="e">
        <f t="shared" si="6"/>
        <v>#DIV/0!</v>
      </c>
      <c r="CO35" s="38" t="e">
        <f t="shared" si="6"/>
        <v>#DIV/0!</v>
      </c>
      <c r="CP35" s="38" t="e">
        <f t="shared" si="6"/>
        <v>#DIV/0!</v>
      </c>
      <c r="CQ35" s="38" t="e">
        <f t="shared" si="6"/>
        <v>#DIV/0!</v>
      </c>
      <c r="CR35" s="38" t="e">
        <f t="shared" si="6"/>
        <v>#DIV/0!</v>
      </c>
      <c r="CS35" s="38" t="e">
        <f t="shared" si="6"/>
        <v>#DIV/0!</v>
      </c>
      <c r="CT35" s="38" t="e">
        <f t="shared" si="6"/>
        <v>#DIV/0!</v>
      </c>
      <c r="CU35" s="38" t="e">
        <f t="shared" ref="CU35:CX35" si="7">CU34/$X$14</f>
        <v>#DIV/0!</v>
      </c>
      <c r="CV35" s="38" t="e">
        <f t="shared" si="7"/>
        <v>#DIV/0!</v>
      </c>
      <c r="CW35" s="38" t="e">
        <f t="shared" si="7"/>
        <v>#DIV/0!</v>
      </c>
      <c r="CX35" s="38" t="e">
        <f t="shared" si="7"/>
        <v>#DIV/0!</v>
      </c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</row>
    <row r="36" spans="1:116" ht="16.5" x14ac:dyDescent="0.3">
      <c r="A36" s="13"/>
      <c r="B36" s="26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</row>
    <row r="37" spans="1:116" ht="17.25" thickBot="1" x14ac:dyDescent="0.35">
      <c r="A37" s="13"/>
      <c r="B37" s="26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45"/>
      <c r="BF37" s="45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45"/>
      <c r="CJ37" s="45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</row>
    <row r="38" spans="1:116" ht="16.5" x14ac:dyDescent="0.3">
      <c r="A38" s="13"/>
      <c r="B38" s="26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</row>
    <row r="39" spans="1:116" ht="16.5" x14ac:dyDescent="0.3">
      <c r="A39" s="13"/>
      <c r="B39" s="26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</row>
    <row r="40" spans="1:116" ht="16.5" x14ac:dyDescent="0.3">
      <c r="A40" s="13"/>
      <c r="B40" s="26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</row>
    <row r="41" spans="1:116" ht="17.25" thickBot="1" x14ac:dyDescent="0.35">
      <c r="A41" s="13"/>
      <c r="B41" s="13"/>
      <c r="C41" s="39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39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48" t="s">
        <v>29</v>
      </c>
      <c r="AB41" s="46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50" t="s">
        <v>33</v>
      </c>
      <c r="BF41" s="46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50" t="s">
        <v>34</v>
      </c>
      <c r="CJ41" s="46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50" t="s">
        <v>35</v>
      </c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</row>
    <row r="42" spans="1:116" ht="16.5" x14ac:dyDescent="0.3">
      <c r="A42" s="64" t="s">
        <v>11</v>
      </c>
      <c r="B42" s="64"/>
      <c r="C42" s="13"/>
      <c r="D42" s="13"/>
      <c r="E42" s="13"/>
      <c r="F42" s="13"/>
      <c r="G42" s="13"/>
      <c r="H42" s="13"/>
      <c r="I42" s="13"/>
      <c r="J42" s="13"/>
      <c r="K42" s="13"/>
      <c r="L42" s="19"/>
      <c r="M42" s="19"/>
      <c r="N42" s="23"/>
      <c r="O42" s="23"/>
      <c r="P42" s="23"/>
      <c r="Q42" s="2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</row>
    <row r="43" spans="1:116" ht="16.5" x14ac:dyDescent="0.3">
      <c r="A43" s="65" t="s">
        <v>23</v>
      </c>
      <c r="B43" s="65"/>
      <c r="C43" s="63" t="s">
        <v>27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 t="s">
        <v>27</v>
      </c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 t="s">
        <v>27</v>
      </c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 t="s">
        <v>27</v>
      </c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</row>
    <row r="44" spans="1:116" ht="16.5" x14ac:dyDescent="0.3">
      <c r="A44" s="65"/>
      <c r="B44" s="65"/>
      <c r="C44" s="6">
        <v>1</v>
      </c>
      <c r="D44" s="6">
        <v>2</v>
      </c>
      <c r="E44" s="6">
        <v>3</v>
      </c>
      <c r="F44" s="6">
        <v>4</v>
      </c>
      <c r="G44" s="6">
        <v>5</v>
      </c>
      <c r="H44" s="6">
        <v>6</v>
      </c>
      <c r="I44" s="6">
        <v>7</v>
      </c>
      <c r="J44" s="6">
        <v>8</v>
      </c>
      <c r="K44" s="6">
        <v>9</v>
      </c>
      <c r="L44" s="6">
        <v>10</v>
      </c>
      <c r="M44" s="6">
        <v>11</v>
      </c>
      <c r="N44" s="6">
        <v>12</v>
      </c>
      <c r="O44" s="6">
        <v>13</v>
      </c>
      <c r="P44" s="6">
        <v>14</v>
      </c>
      <c r="Q44" s="6">
        <v>15</v>
      </c>
      <c r="R44" s="6">
        <v>16</v>
      </c>
      <c r="S44" s="6">
        <v>17</v>
      </c>
      <c r="T44" s="6">
        <v>18</v>
      </c>
      <c r="U44" s="6">
        <v>19</v>
      </c>
      <c r="V44" s="6">
        <v>20</v>
      </c>
      <c r="W44" s="6">
        <v>21</v>
      </c>
      <c r="X44" s="6">
        <v>22</v>
      </c>
      <c r="Y44" s="6">
        <v>23</v>
      </c>
      <c r="Z44" s="6">
        <v>24</v>
      </c>
      <c r="AA44" s="6">
        <v>25</v>
      </c>
      <c r="AB44" s="6">
        <v>26</v>
      </c>
      <c r="AC44" s="6">
        <v>27</v>
      </c>
      <c r="AD44" s="6">
        <v>28</v>
      </c>
      <c r="AE44" s="6">
        <v>29</v>
      </c>
      <c r="AF44" s="6">
        <v>30</v>
      </c>
      <c r="AG44" s="6">
        <v>31</v>
      </c>
      <c r="AH44" s="6">
        <v>32</v>
      </c>
      <c r="AI44" s="6">
        <v>33</v>
      </c>
      <c r="AJ44" s="6">
        <v>34</v>
      </c>
      <c r="AK44" s="6">
        <v>35</v>
      </c>
      <c r="AL44" s="6">
        <v>36</v>
      </c>
      <c r="AM44" s="6">
        <v>37</v>
      </c>
      <c r="AN44" s="6">
        <v>38</v>
      </c>
      <c r="AO44" s="6">
        <v>39</v>
      </c>
      <c r="AP44" s="6">
        <v>40</v>
      </c>
      <c r="AQ44" s="6">
        <v>41</v>
      </c>
      <c r="AR44" s="6">
        <v>42</v>
      </c>
      <c r="AS44" s="6">
        <v>43</v>
      </c>
      <c r="AT44" s="6">
        <v>44</v>
      </c>
      <c r="AU44" s="6">
        <v>45</v>
      </c>
      <c r="AV44" s="6">
        <v>46</v>
      </c>
      <c r="AW44" s="6">
        <v>47</v>
      </c>
      <c r="AX44" s="6">
        <v>48</v>
      </c>
      <c r="AY44" s="6">
        <v>49</v>
      </c>
      <c r="AZ44" s="6">
        <v>50</v>
      </c>
      <c r="BA44" s="6">
        <v>51</v>
      </c>
      <c r="BB44" s="6">
        <v>52</v>
      </c>
      <c r="BC44" s="6">
        <v>53</v>
      </c>
      <c r="BD44" s="6">
        <v>54</v>
      </c>
      <c r="BE44" s="6">
        <v>55</v>
      </c>
      <c r="BF44" s="6">
        <v>56</v>
      </c>
      <c r="BG44" s="6">
        <v>57</v>
      </c>
      <c r="BH44" s="6">
        <v>58</v>
      </c>
      <c r="BI44" s="6">
        <v>59</v>
      </c>
      <c r="BJ44" s="6">
        <v>60</v>
      </c>
      <c r="BK44" s="6">
        <v>61</v>
      </c>
      <c r="BL44" s="6">
        <v>62</v>
      </c>
      <c r="BM44" s="6">
        <v>63</v>
      </c>
      <c r="BN44" s="6">
        <v>64</v>
      </c>
      <c r="BO44" s="6">
        <v>65</v>
      </c>
      <c r="BP44" s="6">
        <v>66</v>
      </c>
      <c r="BQ44" s="6">
        <v>67</v>
      </c>
      <c r="BR44" s="6">
        <v>68</v>
      </c>
      <c r="BS44" s="6">
        <v>69</v>
      </c>
      <c r="BT44" s="6">
        <v>70</v>
      </c>
      <c r="BU44" s="6">
        <v>71</v>
      </c>
      <c r="BV44" s="6">
        <v>72</v>
      </c>
      <c r="BW44" s="6">
        <v>73</v>
      </c>
      <c r="BX44" s="6">
        <v>74</v>
      </c>
      <c r="BY44" s="6">
        <v>75</v>
      </c>
      <c r="BZ44" s="6">
        <v>76</v>
      </c>
      <c r="CA44" s="6">
        <v>77</v>
      </c>
      <c r="CB44" s="6">
        <v>78</v>
      </c>
      <c r="CC44" s="6">
        <v>79</v>
      </c>
      <c r="CD44" s="6">
        <v>80</v>
      </c>
      <c r="CE44" s="6">
        <v>81</v>
      </c>
      <c r="CF44" s="6">
        <v>82</v>
      </c>
      <c r="CG44" s="6">
        <v>83</v>
      </c>
      <c r="CH44" s="6">
        <v>84</v>
      </c>
      <c r="CI44" s="6">
        <v>85</v>
      </c>
      <c r="CJ44" s="6">
        <v>86</v>
      </c>
      <c r="CK44" s="6">
        <v>87</v>
      </c>
      <c r="CL44" s="6">
        <v>88</v>
      </c>
      <c r="CM44" s="6">
        <v>89</v>
      </c>
      <c r="CN44" s="6">
        <v>90</v>
      </c>
      <c r="CO44" s="6">
        <v>91</v>
      </c>
      <c r="CP44" s="6">
        <v>92</v>
      </c>
      <c r="CQ44" s="6">
        <v>93</v>
      </c>
      <c r="CR44" s="6">
        <v>94</v>
      </c>
      <c r="CS44" s="6">
        <v>95</v>
      </c>
      <c r="CT44" s="6">
        <v>96</v>
      </c>
      <c r="CU44" s="6">
        <v>97</v>
      </c>
      <c r="CV44" s="6">
        <v>98</v>
      </c>
      <c r="CW44" s="6">
        <v>99</v>
      </c>
      <c r="CX44" s="6">
        <v>100</v>
      </c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</row>
    <row r="45" spans="1:116" ht="16.5" x14ac:dyDescent="0.3">
      <c r="A45" s="3">
        <v>1</v>
      </c>
      <c r="B45" s="42"/>
      <c r="C45" s="43"/>
      <c r="D45" s="4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</row>
    <row r="46" spans="1:116" ht="16.5" x14ac:dyDescent="0.3">
      <c r="A46" s="3">
        <v>2</v>
      </c>
      <c r="B46" s="42"/>
      <c r="C46" s="43"/>
      <c r="D46" s="4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</row>
    <row r="47" spans="1:116" ht="16.5" x14ac:dyDescent="0.3">
      <c r="A47" s="3">
        <v>3</v>
      </c>
      <c r="B47" s="42"/>
      <c r="C47" s="43"/>
      <c r="D47" s="4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</row>
    <row r="48" spans="1:116" ht="16.5" x14ac:dyDescent="0.3">
      <c r="A48" s="3">
        <v>4</v>
      </c>
      <c r="B48" s="42"/>
      <c r="C48" s="43"/>
      <c r="D48" s="4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</row>
    <row r="49" spans="1:116" ht="16.5" x14ac:dyDescent="0.3">
      <c r="A49" s="3">
        <v>5</v>
      </c>
      <c r="B49" s="42"/>
      <c r="C49" s="43"/>
      <c r="D49" s="4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</row>
    <row r="50" spans="1:116" ht="16.5" x14ac:dyDescent="0.3">
      <c r="A50" s="3">
        <v>6</v>
      </c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</row>
    <row r="51" spans="1:116" ht="16.5" x14ac:dyDescent="0.3">
      <c r="A51" s="3">
        <v>7</v>
      </c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</row>
    <row r="52" spans="1:116" ht="16.5" x14ac:dyDescent="0.3">
      <c r="A52" s="3">
        <v>8</v>
      </c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</row>
    <row r="53" spans="1:116" ht="16.5" x14ac:dyDescent="0.3">
      <c r="A53" s="3">
        <v>9</v>
      </c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</row>
    <row r="54" spans="1:116" ht="16.5" x14ac:dyDescent="0.3">
      <c r="A54" s="3">
        <v>10</v>
      </c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</row>
    <row r="55" spans="1:116" ht="16.5" x14ac:dyDescent="0.3">
      <c r="A55" s="3">
        <v>11</v>
      </c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</row>
    <row r="56" spans="1:116" ht="16.5" x14ac:dyDescent="0.3">
      <c r="A56" s="3">
        <v>12</v>
      </c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</row>
    <row r="57" spans="1:116" ht="16.5" x14ac:dyDescent="0.3">
      <c r="A57" s="3">
        <v>13</v>
      </c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</row>
    <row r="58" spans="1:116" ht="16.5" x14ac:dyDescent="0.3">
      <c r="A58" s="3">
        <v>14</v>
      </c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</row>
    <row r="59" spans="1:116" ht="16.5" x14ac:dyDescent="0.3">
      <c r="A59" s="3">
        <v>15</v>
      </c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</row>
    <row r="60" spans="1:116" ht="16.5" x14ac:dyDescent="0.3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</row>
    <row r="61" spans="1:116" s="2" customFormat="1" ht="16.5" x14ac:dyDescent="0.3">
      <c r="A61" s="5" t="s">
        <v>9</v>
      </c>
      <c r="B61" s="6"/>
      <c r="C61" s="40">
        <f t="shared" ref="C61:AH61" si="8">COUNTIF(C45:C60, "1")</f>
        <v>0</v>
      </c>
      <c r="D61" s="40">
        <f t="shared" si="8"/>
        <v>0</v>
      </c>
      <c r="E61" s="40">
        <f t="shared" si="8"/>
        <v>0</v>
      </c>
      <c r="F61" s="40">
        <f t="shared" si="8"/>
        <v>0</v>
      </c>
      <c r="G61" s="40">
        <f t="shared" si="8"/>
        <v>0</v>
      </c>
      <c r="H61" s="40">
        <f t="shared" si="8"/>
        <v>0</v>
      </c>
      <c r="I61" s="40">
        <f t="shared" si="8"/>
        <v>0</v>
      </c>
      <c r="J61" s="40">
        <f t="shared" si="8"/>
        <v>0</v>
      </c>
      <c r="K61" s="40">
        <f t="shared" si="8"/>
        <v>0</v>
      </c>
      <c r="L61" s="40">
        <f t="shared" si="8"/>
        <v>0</v>
      </c>
      <c r="M61" s="40">
        <f t="shared" si="8"/>
        <v>0</v>
      </c>
      <c r="N61" s="40">
        <f t="shared" si="8"/>
        <v>0</v>
      </c>
      <c r="O61" s="40">
        <f t="shared" si="8"/>
        <v>0</v>
      </c>
      <c r="P61" s="40">
        <f t="shared" si="8"/>
        <v>0</v>
      </c>
      <c r="Q61" s="40">
        <f t="shared" si="8"/>
        <v>0</v>
      </c>
      <c r="R61" s="40">
        <f t="shared" si="8"/>
        <v>0</v>
      </c>
      <c r="S61" s="40">
        <f t="shared" si="8"/>
        <v>0</v>
      </c>
      <c r="T61" s="40">
        <f t="shared" si="8"/>
        <v>0</v>
      </c>
      <c r="U61" s="40">
        <f t="shared" si="8"/>
        <v>0</v>
      </c>
      <c r="V61" s="40">
        <f t="shared" si="8"/>
        <v>0</v>
      </c>
      <c r="W61" s="40">
        <f t="shared" si="8"/>
        <v>0</v>
      </c>
      <c r="X61" s="40">
        <f t="shared" si="8"/>
        <v>0</v>
      </c>
      <c r="Y61" s="40">
        <f t="shared" si="8"/>
        <v>0</v>
      </c>
      <c r="Z61" s="40">
        <f t="shared" si="8"/>
        <v>0</v>
      </c>
      <c r="AA61" s="40">
        <f t="shared" si="8"/>
        <v>0</v>
      </c>
      <c r="AB61" s="40">
        <f t="shared" si="8"/>
        <v>0</v>
      </c>
      <c r="AC61" s="40">
        <f t="shared" si="8"/>
        <v>0</v>
      </c>
      <c r="AD61" s="40">
        <f t="shared" si="8"/>
        <v>0</v>
      </c>
      <c r="AE61" s="40">
        <f t="shared" si="8"/>
        <v>0</v>
      </c>
      <c r="AF61" s="40">
        <f t="shared" si="8"/>
        <v>0</v>
      </c>
      <c r="AG61" s="40">
        <f t="shared" si="8"/>
        <v>0</v>
      </c>
      <c r="AH61" s="40">
        <f t="shared" si="8"/>
        <v>0</v>
      </c>
      <c r="AI61" s="40">
        <f t="shared" ref="AI61:BN61" si="9">COUNTIF(AI45:AI60, "1")</f>
        <v>0</v>
      </c>
      <c r="AJ61" s="40">
        <f t="shared" si="9"/>
        <v>0</v>
      </c>
      <c r="AK61" s="40">
        <f t="shared" si="9"/>
        <v>0</v>
      </c>
      <c r="AL61" s="40">
        <f t="shared" si="9"/>
        <v>0</v>
      </c>
      <c r="AM61" s="40">
        <f t="shared" si="9"/>
        <v>0</v>
      </c>
      <c r="AN61" s="40">
        <f t="shared" si="9"/>
        <v>0</v>
      </c>
      <c r="AO61" s="40">
        <f t="shared" si="9"/>
        <v>0</v>
      </c>
      <c r="AP61" s="40">
        <f t="shared" si="9"/>
        <v>0</v>
      </c>
      <c r="AQ61" s="40">
        <f t="shared" si="9"/>
        <v>0</v>
      </c>
      <c r="AR61" s="40">
        <f t="shared" si="9"/>
        <v>0</v>
      </c>
      <c r="AS61" s="40">
        <f t="shared" si="9"/>
        <v>0</v>
      </c>
      <c r="AT61" s="40">
        <f t="shared" si="9"/>
        <v>0</v>
      </c>
      <c r="AU61" s="40">
        <f t="shared" si="9"/>
        <v>0</v>
      </c>
      <c r="AV61" s="40">
        <f t="shared" si="9"/>
        <v>0</v>
      </c>
      <c r="AW61" s="40">
        <f t="shared" si="9"/>
        <v>0</v>
      </c>
      <c r="AX61" s="40">
        <f t="shared" si="9"/>
        <v>0</v>
      </c>
      <c r="AY61" s="40">
        <f t="shared" si="9"/>
        <v>0</v>
      </c>
      <c r="AZ61" s="40">
        <f t="shared" si="9"/>
        <v>0</v>
      </c>
      <c r="BA61" s="40">
        <f t="shared" si="9"/>
        <v>0</v>
      </c>
      <c r="BB61" s="40">
        <f t="shared" si="9"/>
        <v>0</v>
      </c>
      <c r="BC61" s="40">
        <f t="shared" si="9"/>
        <v>0</v>
      </c>
      <c r="BD61" s="40">
        <f t="shared" si="9"/>
        <v>0</v>
      </c>
      <c r="BE61" s="40">
        <f t="shared" si="9"/>
        <v>0</v>
      </c>
      <c r="BF61" s="40">
        <f t="shared" si="9"/>
        <v>0</v>
      </c>
      <c r="BG61" s="40">
        <f t="shared" si="9"/>
        <v>0</v>
      </c>
      <c r="BH61" s="40">
        <f t="shared" si="9"/>
        <v>0</v>
      </c>
      <c r="BI61" s="40">
        <f t="shared" si="9"/>
        <v>0</v>
      </c>
      <c r="BJ61" s="40">
        <f t="shared" si="9"/>
        <v>0</v>
      </c>
      <c r="BK61" s="40">
        <f t="shared" si="9"/>
        <v>0</v>
      </c>
      <c r="BL61" s="40">
        <f t="shared" si="9"/>
        <v>0</v>
      </c>
      <c r="BM61" s="40">
        <f t="shared" si="9"/>
        <v>0</v>
      </c>
      <c r="BN61" s="40">
        <f t="shared" si="9"/>
        <v>0</v>
      </c>
      <c r="BO61" s="40">
        <f t="shared" ref="BO61:CT61" si="10">COUNTIF(BO45:BO60, "1")</f>
        <v>0</v>
      </c>
      <c r="BP61" s="40">
        <f t="shared" si="10"/>
        <v>0</v>
      </c>
      <c r="BQ61" s="40">
        <f t="shared" si="10"/>
        <v>0</v>
      </c>
      <c r="BR61" s="40">
        <f t="shared" si="10"/>
        <v>0</v>
      </c>
      <c r="BS61" s="40">
        <f t="shared" si="10"/>
        <v>0</v>
      </c>
      <c r="BT61" s="40">
        <f t="shared" si="10"/>
        <v>0</v>
      </c>
      <c r="BU61" s="40">
        <f t="shared" si="10"/>
        <v>0</v>
      </c>
      <c r="BV61" s="40">
        <f t="shared" si="10"/>
        <v>0</v>
      </c>
      <c r="BW61" s="40">
        <f t="shared" si="10"/>
        <v>0</v>
      </c>
      <c r="BX61" s="40">
        <f t="shared" si="10"/>
        <v>0</v>
      </c>
      <c r="BY61" s="40">
        <f t="shared" si="10"/>
        <v>0</v>
      </c>
      <c r="BZ61" s="40">
        <f t="shared" si="10"/>
        <v>0</v>
      </c>
      <c r="CA61" s="40">
        <f t="shared" si="10"/>
        <v>0</v>
      </c>
      <c r="CB61" s="40">
        <f t="shared" si="10"/>
        <v>0</v>
      </c>
      <c r="CC61" s="40">
        <f t="shared" si="10"/>
        <v>0</v>
      </c>
      <c r="CD61" s="40">
        <f t="shared" si="10"/>
        <v>0</v>
      </c>
      <c r="CE61" s="40">
        <f t="shared" si="10"/>
        <v>0</v>
      </c>
      <c r="CF61" s="40">
        <f t="shared" si="10"/>
        <v>0</v>
      </c>
      <c r="CG61" s="40">
        <f t="shared" si="10"/>
        <v>0</v>
      </c>
      <c r="CH61" s="40">
        <f t="shared" si="10"/>
        <v>0</v>
      </c>
      <c r="CI61" s="40">
        <f t="shared" si="10"/>
        <v>0</v>
      </c>
      <c r="CJ61" s="40">
        <f t="shared" si="10"/>
        <v>0</v>
      </c>
      <c r="CK61" s="40">
        <f t="shared" si="10"/>
        <v>0</v>
      </c>
      <c r="CL61" s="40">
        <f t="shared" si="10"/>
        <v>0</v>
      </c>
      <c r="CM61" s="40">
        <f t="shared" si="10"/>
        <v>0</v>
      </c>
      <c r="CN61" s="40">
        <f t="shared" si="10"/>
        <v>0</v>
      </c>
      <c r="CO61" s="40">
        <f t="shared" si="10"/>
        <v>0</v>
      </c>
      <c r="CP61" s="40">
        <f t="shared" si="10"/>
        <v>0</v>
      </c>
      <c r="CQ61" s="40">
        <f t="shared" si="10"/>
        <v>0</v>
      </c>
      <c r="CR61" s="40">
        <f t="shared" si="10"/>
        <v>0</v>
      </c>
      <c r="CS61" s="40">
        <f t="shared" si="10"/>
        <v>0</v>
      </c>
      <c r="CT61" s="40">
        <f t="shared" si="10"/>
        <v>0</v>
      </c>
      <c r="CU61" s="40">
        <f t="shared" ref="CU61:CX61" si="11">COUNTIF(CU45:CU60, "1")</f>
        <v>0</v>
      </c>
      <c r="CV61" s="40">
        <f t="shared" si="11"/>
        <v>0</v>
      </c>
      <c r="CW61" s="40">
        <f t="shared" si="11"/>
        <v>0</v>
      </c>
      <c r="CX61" s="40">
        <f t="shared" si="11"/>
        <v>0</v>
      </c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</row>
    <row r="62" spans="1:116" s="2" customFormat="1" ht="16.5" x14ac:dyDescent="0.3">
      <c r="A62" s="25"/>
      <c r="B62" s="26" t="s">
        <v>12</v>
      </c>
      <c r="C62" s="38" t="e">
        <f t="shared" ref="C62:AH62" si="12">C61/$X$14</f>
        <v>#DIV/0!</v>
      </c>
      <c r="D62" s="38" t="e">
        <f t="shared" si="12"/>
        <v>#DIV/0!</v>
      </c>
      <c r="E62" s="38" t="e">
        <f t="shared" si="12"/>
        <v>#DIV/0!</v>
      </c>
      <c r="F62" s="38" t="e">
        <f t="shared" si="12"/>
        <v>#DIV/0!</v>
      </c>
      <c r="G62" s="38" t="e">
        <f t="shared" si="12"/>
        <v>#DIV/0!</v>
      </c>
      <c r="H62" s="38" t="e">
        <f t="shared" si="12"/>
        <v>#DIV/0!</v>
      </c>
      <c r="I62" s="38" t="e">
        <f t="shared" si="12"/>
        <v>#DIV/0!</v>
      </c>
      <c r="J62" s="38" t="e">
        <f t="shared" si="12"/>
        <v>#DIV/0!</v>
      </c>
      <c r="K62" s="38" t="e">
        <f t="shared" si="12"/>
        <v>#DIV/0!</v>
      </c>
      <c r="L62" s="38" t="e">
        <f t="shared" si="12"/>
        <v>#DIV/0!</v>
      </c>
      <c r="M62" s="38" t="e">
        <f t="shared" si="12"/>
        <v>#DIV/0!</v>
      </c>
      <c r="N62" s="38" t="e">
        <f t="shared" si="12"/>
        <v>#DIV/0!</v>
      </c>
      <c r="O62" s="38" t="e">
        <f t="shared" si="12"/>
        <v>#DIV/0!</v>
      </c>
      <c r="P62" s="38" t="e">
        <f t="shared" si="12"/>
        <v>#DIV/0!</v>
      </c>
      <c r="Q62" s="38" t="e">
        <f t="shared" si="12"/>
        <v>#DIV/0!</v>
      </c>
      <c r="R62" s="38" t="e">
        <f t="shared" si="12"/>
        <v>#DIV/0!</v>
      </c>
      <c r="S62" s="38" t="e">
        <f t="shared" si="12"/>
        <v>#DIV/0!</v>
      </c>
      <c r="T62" s="38" t="e">
        <f t="shared" si="12"/>
        <v>#DIV/0!</v>
      </c>
      <c r="U62" s="38" t="e">
        <f t="shared" si="12"/>
        <v>#DIV/0!</v>
      </c>
      <c r="V62" s="38" t="e">
        <f t="shared" si="12"/>
        <v>#DIV/0!</v>
      </c>
      <c r="W62" s="38" t="e">
        <f t="shared" si="12"/>
        <v>#DIV/0!</v>
      </c>
      <c r="X62" s="38" t="e">
        <f t="shared" si="12"/>
        <v>#DIV/0!</v>
      </c>
      <c r="Y62" s="38" t="e">
        <f t="shared" si="12"/>
        <v>#DIV/0!</v>
      </c>
      <c r="Z62" s="38" t="e">
        <f t="shared" si="12"/>
        <v>#DIV/0!</v>
      </c>
      <c r="AA62" s="38" t="e">
        <f t="shared" si="12"/>
        <v>#DIV/0!</v>
      </c>
      <c r="AB62" s="38" t="e">
        <f t="shared" si="12"/>
        <v>#DIV/0!</v>
      </c>
      <c r="AC62" s="38" t="e">
        <f t="shared" si="12"/>
        <v>#DIV/0!</v>
      </c>
      <c r="AD62" s="38" t="e">
        <f t="shared" si="12"/>
        <v>#DIV/0!</v>
      </c>
      <c r="AE62" s="38" t="e">
        <f t="shared" si="12"/>
        <v>#DIV/0!</v>
      </c>
      <c r="AF62" s="38" t="e">
        <f t="shared" si="12"/>
        <v>#DIV/0!</v>
      </c>
      <c r="AG62" s="38" t="e">
        <f t="shared" si="12"/>
        <v>#DIV/0!</v>
      </c>
      <c r="AH62" s="38" t="e">
        <f t="shared" si="12"/>
        <v>#DIV/0!</v>
      </c>
      <c r="AI62" s="38" t="e">
        <f t="shared" ref="AI62:BN62" si="13">AI61/$X$14</f>
        <v>#DIV/0!</v>
      </c>
      <c r="AJ62" s="38" t="e">
        <f t="shared" si="13"/>
        <v>#DIV/0!</v>
      </c>
      <c r="AK62" s="38" t="e">
        <f t="shared" si="13"/>
        <v>#DIV/0!</v>
      </c>
      <c r="AL62" s="38" t="e">
        <f t="shared" si="13"/>
        <v>#DIV/0!</v>
      </c>
      <c r="AM62" s="38" t="e">
        <f t="shared" si="13"/>
        <v>#DIV/0!</v>
      </c>
      <c r="AN62" s="38" t="e">
        <f t="shared" si="13"/>
        <v>#DIV/0!</v>
      </c>
      <c r="AO62" s="38" t="e">
        <f t="shared" si="13"/>
        <v>#DIV/0!</v>
      </c>
      <c r="AP62" s="38" t="e">
        <f t="shared" si="13"/>
        <v>#DIV/0!</v>
      </c>
      <c r="AQ62" s="38" t="e">
        <f t="shared" si="13"/>
        <v>#DIV/0!</v>
      </c>
      <c r="AR62" s="38" t="e">
        <f t="shared" si="13"/>
        <v>#DIV/0!</v>
      </c>
      <c r="AS62" s="38" t="e">
        <f t="shared" si="13"/>
        <v>#DIV/0!</v>
      </c>
      <c r="AT62" s="38" t="e">
        <f t="shared" si="13"/>
        <v>#DIV/0!</v>
      </c>
      <c r="AU62" s="38" t="e">
        <f t="shared" si="13"/>
        <v>#DIV/0!</v>
      </c>
      <c r="AV62" s="38" t="e">
        <f t="shared" si="13"/>
        <v>#DIV/0!</v>
      </c>
      <c r="AW62" s="38" t="e">
        <f t="shared" si="13"/>
        <v>#DIV/0!</v>
      </c>
      <c r="AX62" s="38" t="e">
        <f t="shared" si="13"/>
        <v>#DIV/0!</v>
      </c>
      <c r="AY62" s="38" t="e">
        <f t="shared" si="13"/>
        <v>#DIV/0!</v>
      </c>
      <c r="AZ62" s="38" t="e">
        <f t="shared" si="13"/>
        <v>#DIV/0!</v>
      </c>
      <c r="BA62" s="38" t="e">
        <f t="shared" si="13"/>
        <v>#DIV/0!</v>
      </c>
      <c r="BB62" s="38" t="e">
        <f t="shared" si="13"/>
        <v>#DIV/0!</v>
      </c>
      <c r="BC62" s="38" t="e">
        <f t="shared" si="13"/>
        <v>#DIV/0!</v>
      </c>
      <c r="BD62" s="38" t="e">
        <f t="shared" si="13"/>
        <v>#DIV/0!</v>
      </c>
      <c r="BE62" s="38" t="e">
        <f t="shared" si="13"/>
        <v>#DIV/0!</v>
      </c>
      <c r="BF62" s="38" t="e">
        <f t="shared" si="13"/>
        <v>#DIV/0!</v>
      </c>
      <c r="BG62" s="38" t="e">
        <f t="shared" si="13"/>
        <v>#DIV/0!</v>
      </c>
      <c r="BH62" s="38" t="e">
        <f t="shared" si="13"/>
        <v>#DIV/0!</v>
      </c>
      <c r="BI62" s="38" t="e">
        <f t="shared" si="13"/>
        <v>#DIV/0!</v>
      </c>
      <c r="BJ62" s="38" t="e">
        <f t="shared" si="13"/>
        <v>#DIV/0!</v>
      </c>
      <c r="BK62" s="38" t="e">
        <f t="shared" si="13"/>
        <v>#DIV/0!</v>
      </c>
      <c r="BL62" s="38" t="e">
        <f t="shared" si="13"/>
        <v>#DIV/0!</v>
      </c>
      <c r="BM62" s="38" t="e">
        <f t="shared" si="13"/>
        <v>#DIV/0!</v>
      </c>
      <c r="BN62" s="38" t="e">
        <f t="shared" si="13"/>
        <v>#DIV/0!</v>
      </c>
      <c r="BO62" s="38" t="e">
        <f t="shared" ref="BO62:CT62" si="14">BO61/$X$14</f>
        <v>#DIV/0!</v>
      </c>
      <c r="BP62" s="38" t="e">
        <f t="shared" si="14"/>
        <v>#DIV/0!</v>
      </c>
      <c r="BQ62" s="38" t="e">
        <f t="shared" si="14"/>
        <v>#DIV/0!</v>
      </c>
      <c r="BR62" s="38" t="e">
        <f t="shared" si="14"/>
        <v>#DIV/0!</v>
      </c>
      <c r="BS62" s="38" t="e">
        <f t="shared" si="14"/>
        <v>#DIV/0!</v>
      </c>
      <c r="BT62" s="38" t="e">
        <f t="shared" si="14"/>
        <v>#DIV/0!</v>
      </c>
      <c r="BU62" s="38" t="e">
        <f t="shared" si="14"/>
        <v>#DIV/0!</v>
      </c>
      <c r="BV62" s="38" t="e">
        <f t="shared" si="14"/>
        <v>#DIV/0!</v>
      </c>
      <c r="BW62" s="38" t="e">
        <f t="shared" si="14"/>
        <v>#DIV/0!</v>
      </c>
      <c r="BX62" s="38" t="e">
        <f t="shared" si="14"/>
        <v>#DIV/0!</v>
      </c>
      <c r="BY62" s="38" t="e">
        <f t="shared" si="14"/>
        <v>#DIV/0!</v>
      </c>
      <c r="BZ62" s="38" t="e">
        <f t="shared" si="14"/>
        <v>#DIV/0!</v>
      </c>
      <c r="CA62" s="38" t="e">
        <f t="shared" si="14"/>
        <v>#DIV/0!</v>
      </c>
      <c r="CB62" s="38" t="e">
        <f t="shared" si="14"/>
        <v>#DIV/0!</v>
      </c>
      <c r="CC62" s="38" t="e">
        <f t="shared" si="14"/>
        <v>#DIV/0!</v>
      </c>
      <c r="CD62" s="38" t="e">
        <f t="shared" si="14"/>
        <v>#DIV/0!</v>
      </c>
      <c r="CE62" s="38" t="e">
        <f t="shared" si="14"/>
        <v>#DIV/0!</v>
      </c>
      <c r="CF62" s="38" t="e">
        <f t="shared" si="14"/>
        <v>#DIV/0!</v>
      </c>
      <c r="CG62" s="38" t="e">
        <f t="shared" si="14"/>
        <v>#DIV/0!</v>
      </c>
      <c r="CH62" s="38" t="e">
        <f t="shared" si="14"/>
        <v>#DIV/0!</v>
      </c>
      <c r="CI62" s="38" t="e">
        <f t="shared" si="14"/>
        <v>#DIV/0!</v>
      </c>
      <c r="CJ62" s="38" t="e">
        <f t="shared" si="14"/>
        <v>#DIV/0!</v>
      </c>
      <c r="CK62" s="38" t="e">
        <f t="shared" si="14"/>
        <v>#DIV/0!</v>
      </c>
      <c r="CL62" s="38" t="e">
        <f t="shared" si="14"/>
        <v>#DIV/0!</v>
      </c>
      <c r="CM62" s="38" t="e">
        <f t="shared" si="14"/>
        <v>#DIV/0!</v>
      </c>
      <c r="CN62" s="38" t="e">
        <f t="shared" si="14"/>
        <v>#DIV/0!</v>
      </c>
      <c r="CO62" s="38" t="e">
        <f t="shared" si="14"/>
        <v>#DIV/0!</v>
      </c>
      <c r="CP62" s="38" t="e">
        <f t="shared" si="14"/>
        <v>#DIV/0!</v>
      </c>
      <c r="CQ62" s="38" t="e">
        <f t="shared" si="14"/>
        <v>#DIV/0!</v>
      </c>
      <c r="CR62" s="38" t="e">
        <f t="shared" si="14"/>
        <v>#DIV/0!</v>
      </c>
      <c r="CS62" s="38" t="e">
        <f t="shared" si="14"/>
        <v>#DIV/0!</v>
      </c>
      <c r="CT62" s="38" t="e">
        <f t="shared" si="14"/>
        <v>#DIV/0!</v>
      </c>
      <c r="CU62" s="38" t="e">
        <f t="shared" ref="CU62:CX62" si="15">CU61/$X$14</f>
        <v>#DIV/0!</v>
      </c>
      <c r="CV62" s="38" t="e">
        <f t="shared" si="15"/>
        <v>#DIV/0!</v>
      </c>
      <c r="CW62" s="38" t="e">
        <f t="shared" si="15"/>
        <v>#DIV/0!</v>
      </c>
      <c r="CX62" s="38" t="e">
        <f t="shared" si="15"/>
        <v>#DIV/0!</v>
      </c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</row>
    <row r="63" spans="1:116" s="2" customFormat="1" ht="16.5" x14ac:dyDescent="0.3">
      <c r="A63" s="25"/>
      <c r="B63" s="26" t="s">
        <v>13</v>
      </c>
      <c r="C63" s="27" t="e">
        <f t="shared" ref="C63:AH63" si="16">(C35+C62)/2</f>
        <v>#DIV/0!</v>
      </c>
      <c r="D63" s="27" t="e">
        <f t="shared" si="16"/>
        <v>#DIV/0!</v>
      </c>
      <c r="E63" s="27" t="e">
        <f t="shared" si="16"/>
        <v>#DIV/0!</v>
      </c>
      <c r="F63" s="27" t="e">
        <f t="shared" si="16"/>
        <v>#DIV/0!</v>
      </c>
      <c r="G63" s="27" t="e">
        <f t="shared" si="16"/>
        <v>#DIV/0!</v>
      </c>
      <c r="H63" s="27" t="e">
        <f t="shared" si="16"/>
        <v>#DIV/0!</v>
      </c>
      <c r="I63" s="27" t="e">
        <f t="shared" si="16"/>
        <v>#DIV/0!</v>
      </c>
      <c r="J63" s="27" t="e">
        <f t="shared" si="16"/>
        <v>#DIV/0!</v>
      </c>
      <c r="K63" s="27" t="e">
        <f t="shared" si="16"/>
        <v>#DIV/0!</v>
      </c>
      <c r="L63" s="27" t="e">
        <f t="shared" si="16"/>
        <v>#DIV/0!</v>
      </c>
      <c r="M63" s="27" t="e">
        <f t="shared" si="16"/>
        <v>#DIV/0!</v>
      </c>
      <c r="N63" s="27" t="e">
        <f t="shared" si="16"/>
        <v>#DIV/0!</v>
      </c>
      <c r="O63" s="27" t="e">
        <f t="shared" si="16"/>
        <v>#DIV/0!</v>
      </c>
      <c r="P63" s="27" t="e">
        <f t="shared" si="16"/>
        <v>#DIV/0!</v>
      </c>
      <c r="Q63" s="27" t="e">
        <f t="shared" si="16"/>
        <v>#DIV/0!</v>
      </c>
      <c r="R63" s="27" t="e">
        <f t="shared" si="16"/>
        <v>#DIV/0!</v>
      </c>
      <c r="S63" s="27" t="e">
        <f t="shared" si="16"/>
        <v>#DIV/0!</v>
      </c>
      <c r="T63" s="27" t="e">
        <f t="shared" si="16"/>
        <v>#DIV/0!</v>
      </c>
      <c r="U63" s="27" t="e">
        <f t="shared" si="16"/>
        <v>#DIV/0!</v>
      </c>
      <c r="V63" s="27" t="e">
        <f t="shared" si="16"/>
        <v>#DIV/0!</v>
      </c>
      <c r="W63" s="27" t="e">
        <f t="shared" si="16"/>
        <v>#DIV/0!</v>
      </c>
      <c r="X63" s="27" t="e">
        <f t="shared" si="16"/>
        <v>#DIV/0!</v>
      </c>
      <c r="Y63" s="27" t="e">
        <f t="shared" si="16"/>
        <v>#DIV/0!</v>
      </c>
      <c r="Z63" s="27" t="e">
        <f t="shared" si="16"/>
        <v>#DIV/0!</v>
      </c>
      <c r="AA63" s="27" t="e">
        <f t="shared" si="16"/>
        <v>#DIV/0!</v>
      </c>
      <c r="AB63" s="27" t="e">
        <f t="shared" si="16"/>
        <v>#DIV/0!</v>
      </c>
      <c r="AC63" s="27" t="e">
        <f t="shared" si="16"/>
        <v>#DIV/0!</v>
      </c>
      <c r="AD63" s="27" t="e">
        <f t="shared" si="16"/>
        <v>#DIV/0!</v>
      </c>
      <c r="AE63" s="27" t="e">
        <f t="shared" si="16"/>
        <v>#DIV/0!</v>
      </c>
      <c r="AF63" s="27" t="e">
        <f t="shared" si="16"/>
        <v>#DIV/0!</v>
      </c>
      <c r="AG63" s="27" t="e">
        <f t="shared" si="16"/>
        <v>#DIV/0!</v>
      </c>
      <c r="AH63" s="27" t="e">
        <f t="shared" si="16"/>
        <v>#DIV/0!</v>
      </c>
      <c r="AI63" s="27" t="e">
        <f t="shared" ref="AI63:BN63" si="17">(AI35+AI62)/2</f>
        <v>#DIV/0!</v>
      </c>
      <c r="AJ63" s="27" t="e">
        <f t="shared" si="17"/>
        <v>#DIV/0!</v>
      </c>
      <c r="AK63" s="27" t="e">
        <f t="shared" si="17"/>
        <v>#DIV/0!</v>
      </c>
      <c r="AL63" s="27" t="e">
        <f t="shared" si="17"/>
        <v>#DIV/0!</v>
      </c>
      <c r="AM63" s="27" t="e">
        <f t="shared" si="17"/>
        <v>#DIV/0!</v>
      </c>
      <c r="AN63" s="27" t="e">
        <f t="shared" si="17"/>
        <v>#DIV/0!</v>
      </c>
      <c r="AO63" s="27" t="e">
        <f t="shared" si="17"/>
        <v>#DIV/0!</v>
      </c>
      <c r="AP63" s="27" t="e">
        <f t="shared" si="17"/>
        <v>#DIV/0!</v>
      </c>
      <c r="AQ63" s="27" t="e">
        <f t="shared" si="17"/>
        <v>#DIV/0!</v>
      </c>
      <c r="AR63" s="27" t="e">
        <f t="shared" si="17"/>
        <v>#DIV/0!</v>
      </c>
      <c r="AS63" s="27" t="e">
        <f t="shared" si="17"/>
        <v>#DIV/0!</v>
      </c>
      <c r="AT63" s="27" t="e">
        <f t="shared" si="17"/>
        <v>#DIV/0!</v>
      </c>
      <c r="AU63" s="27" t="e">
        <f t="shared" si="17"/>
        <v>#DIV/0!</v>
      </c>
      <c r="AV63" s="27" t="e">
        <f t="shared" si="17"/>
        <v>#DIV/0!</v>
      </c>
      <c r="AW63" s="27" t="e">
        <f t="shared" si="17"/>
        <v>#DIV/0!</v>
      </c>
      <c r="AX63" s="27" t="e">
        <f t="shared" si="17"/>
        <v>#DIV/0!</v>
      </c>
      <c r="AY63" s="27" t="e">
        <f t="shared" si="17"/>
        <v>#DIV/0!</v>
      </c>
      <c r="AZ63" s="27" t="e">
        <f t="shared" si="17"/>
        <v>#DIV/0!</v>
      </c>
      <c r="BA63" s="27" t="e">
        <f t="shared" si="17"/>
        <v>#DIV/0!</v>
      </c>
      <c r="BB63" s="27" t="e">
        <f t="shared" si="17"/>
        <v>#DIV/0!</v>
      </c>
      <c r="BC63" s="27" t="e">
        <f t="shared" si="17"/>
        <v>#DIV/0!</v>
      </c>
      <c r="BD63" s="27" t="e">
        <f t="shared" si="17"/>
        <v>#DIV/0!</v>
      </c>
      <c r="BE63" s="27" t="e">
        <f t="shared" si="17"/>
        <v>#DIV/0!</v>
      </c>
      <c r="BF63" s="27" t="e">
        <f t="shared" si="17"/>
        <v>#DIV/0!</v>
      </c>
      <c r="BG63" s="27" t="e">
        <f t="shared" si="17"/>
        <v>#DIV/0!</v>
      </c>
      <c r="BH63" s="27" t="e">
        <f t="shared" si="17"/>
        <v>#DIV/0!</v>
      </c>
      <c r="BI63" s="27" t="e">
        <f t="shared" si="17"/>
        <v>#DIV/0!</v>
      </c>
      <c r="BJ63" s="27" t="e">
        <f t="shared" si="17"/>
        <v>#DIV/0!</v>
      </c>
      <c r="BK63" s="27" t="e">
        <f t="shared" si="17"/>
        <v>#DIV/0!</v>
      </c>
      <c r="BL63" s="27" t="e">
        <f t="shared" si="17"/>
        <v>#DIV/0!</v>
      </c>
      <c r="BM63" s="27" t="e">
        <f t="shared" si="17"/>
        <v>#DIV/0!</v>
      </c>
      <c r="BN63" s="27" t="e">
        <f t="shared" si="17"/>
        <v>#DIV/0!</v>
      </c>
      <c r="BO63" s="27" t="e">
        <f t="shared" ref="BO63:CT63" si="18">(BO35+BO62)/2</f>
        <v>#DIV/0!</v>
      </c>
      <c r="BP63" s="27" t="e">
        <f t="shared" si="18"/>
        <v>#DIV/0!</v>
      </c>
      <c r="BQ63" s="27" t="e">
        <f t="shared" si="18"/>
        <v>#DIV/0!</v>
      </c>
      <c r="BR63" s="27" t="e">
        <f t="shared" si="18"/>
        <v>#DIV/0!</v>
      </c>
      <c r="BS63" s="27" t="e">
        <f t="shared" si="18"/>
        <v>#DIV/0!</v>
      </c>
      <c r="BT63" s="27" t="e">
        <f t="shared" si="18"/>
        <v>#DIV/0!</v>
      </c>
      <c r="BU63" s="27" t="e">
        <f t="shared" si="18"/>
        <v>#DIV/0!</v>
      </c>
      <c r="BV63" s="27" t="e">
        <f t="shared" si="18"/>
        <v>#DIV/0!</v>
      </c>
      <c r="BW63" s="27" t="e">
        <f t="shared" si="18"/>
        <v>#DIV/0!</v>
      </c>
      <c r="BX63" s="27" t="e">
        <f t="shared" si="18"/>
        <v>#DIV/0!</v>
      </c>
      <c r="BY63" s="27" t="e">
        <f t="shared" si="18"/>
        <v>#DIV/0!</v>
      </c>
      <c r="BZ63" s="27" t="e">
        <f t="shared" si="18"/>
        <v>#DIV/0!</v>
      </c>
      <c r="CA63" s="27" t="e">
        <f t="shared" si="18"/>
        <v>#DIV/0!</v>
      </c>
      <c r="CB63" s="27" t="e">
        <f t="shared" si="18"/>
        <v>#DIV/0!</v>
      </c>
      <c r="CC63" s="27" t="e">
        <f t="shared" si="18"/>
        <v>#DIV/0!</v>
      </c>
      <c r="CD63" s="27" t="e">
        <f t="shared" si="18"/>
        <v>#DIV/0!</v>
      </c>
      <c r="CE63" s="27" t="e">
        <f t="shared" si="18"/>
        <v>#DIV/0!</v>
      </c>
      <c r="CF63" s="27" t="e">
        <f t="shared" si="18"/>
        <v>#DIV/0!</v>
      </c>
      <c r="CG63" s="27" t="e">
        <f t="shared" si="18"/>
        <v>#DIV/0!</v>
      </c>
      <c r="CH63" s="27" t="e">
        <f t="shared" si="18"/>
        <v>#DIV/0!</v>
      </c>
      <c r="CI63" s="27" t="e">
        <f t="shared" si="18"/>
        <v>#DIV/0!</v>
      </c>
      <c r="CJ63" s="27" t="e">
        <f t="shared" si="18"/>
        <v>#DIV/0!</v>
      </c>
      <c r="CK63" s="27" t="e">
        <f t="shared" si="18"/>
        <v>#DIV/0!</v>
      </c>
      <c r="CL63" s="27" t="e">
        <f t="shared" si="18"/>
        <v>#DIV/0!</v>
      </c>
      <c r="CM63" s="27" t="e">
        <f t="shared" si="18"/>
        <v>#DIV/0!</v>
      </c>
      <c r="CN63" s="27" t="e">
        <f t="shared" si="18"/>
        <v>#DIV/0!</v>
      </c>
      <c r="CO63" s="27" t="e">
        <f t="shared" si="18"/>
        <v>#DIV/0!</v>
      </c>
      <c r="CP63" s="27" t="e">
        <f t="shared" si="18"/>
        <v>#DIV/0!</v>
      </c>
      <c r="CQ63" s="27" t="e">
        <f t="shared" si="18"/>
        <v>#DIV/0!</v>
      </c>
      <c r="CR63" s="27" t="e">
        <f t="shared" si="18"/>
        <v>#DIV/0!</v>
      </c>
      <c r="CS63" s="27" t="e">
        <f t="shared" si="18"/>
        <v>#DIV/0!</v>
      </c>
      <c r="CT63" s="27" t="e">
        <f t="shared" si="18"/>
        <v>#DIV/0!</v>
      </c>
      <c r="CU63" s="27" t="e">
        <f t="shared" ref="CU63:CX63" si="19">(CU35+CU62)/2</f>
        <v>#DIV/0!</v>
      </c>
      <c r="CV63" s="27" t="e">
        <f t="shared" si="19"/>
        <v>#DIV/0!</v>
      </c>
      <c r="CW63" s="27" t="e">
        <f t="shared" si="19"/>
        <v>#DIV/0!</v>
      </c>
      <c r="CX63" s="27" t="e">
        <f t="shared" si="19"/>
        <v>#DIV/0!</v>
      </c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</row>
    <row r="64" spans="1:116" s="2" customFormat="1" ht="16.5" x14ac:dyDescent="0.3">
      <c r="A64" s="25"/>
      <c r="B64" s="26" t="s">
        <v>14</v>
      </c>
      <c r="C64" s="27" t="e">
        <f t="shared" ref="C64:AH64" si="20">(C35-C62)</f>
        <v>#DIV/0!</v>
      </c>
      <c r="D64" s="27" t="e">
        <f t="shared" si="20"/>
        <v>#DIV/0!</v>
      </c>
      <c r="E64" s="27" t="e">
        <f t="shared" si="20"/>
        <v>#DIV/0!</v>
      </c>
      <c r="F64" s="27" t="e">
        <f t="shared" si="20"/>
        <v>#DIV/0!</v>
      </c>
      <c r="G64" s="27" t="e">
        <f t="shared" si="20"/>
        <v>#DIV/0!</v>
      </c>
      <c r="H64" s="27" t="e">
        <f t="shared" si="20"/>
        <v>#DIV/0!</v>
      </c>
      <c r="I64" s="27" t="e">
        <f t="shared" si="20"/>
        <v>#DIV/0!</v>
      </c>
      <c r="J64" s="27" t="e">
        <f t="shared" si="20"/>
        <v>#DIV/0!</v>
      </c>
      <c r="K64" s="27" t="e">
        <f t="shared" si="20"/>
        <v>#DIV/0!</v>
      </c>
      <c r="L64" s="27" t="e">
        <f t="shared" si="20"/>
        <v>#DIV/0!</v>
      </c>
      <c r="M64" s="27" t="e">
        <f t="shared" si="20"/>
        <v>#DIV/0!</v>
      </c>
      <c r="N64" s="27" t="e">
        <f t="shared" si="20"/>
        <v>#DIV/0!</v>
      </c>
      <c r="O64" s="27" t="e">
        <f t="shared" si="20"/>
        <v>#DIV/0!</v>
      </c>
      <c r="P64" s="27" t="e">
        <f t="shared" si="20"/>
        <v>#DIV/0!</v>
      </c>
      <c r="Q64" s="27" t="e">
        <f t="shared" si="20"/>
        <v>#DIV/0!</v>
      </c>
      <c r="R64" s="27" t="e">
        <f t="shared" si="20"/>
        <v>#DIV/0!</v>
      </c>
      <c r="S64" s="27" t="e">
        <f t="shared" si="20"/>
        <v>#DIV/0!</v>
      </c>
      <c r="T64" s="27" t="e">
        <f t="shared" si="20"/>
        <v>#DIV/0!</v>
      </c>
      <c r="U64" s="27" t="e">
        <f t="shared" si="20"/>
        <v>#DIV/0!</v>
      </c>
      <c r="V64" s="27" t="e">
        <f t="shared" si="20"/>
        <v>#DIV/0!</v>
      </c>
      <c r="W64" s="27" t="e">
        <f t="shared" si="20"/>
        <v>#DIV/0!</v>
      </c>
      <c r="X64" s="27" t="e">
        <f t="shared" si="20"/>
        <v>#DIV/0!</v>
      </c>
      <c r="Y64" s="27" t="e">
        <f t="shared" si="20"/>
        <v>#DIV/0!</v>
      </c>
      <c r="Z64" s="27" t="e">
        <f t="shared" si="20"/>
        <v>#DIV/0!</v>
      </c>
      <c r="AA64" s="27" t="e">
        <f t="shared" si="20"/>
        <v>#DIV/0!</v>
      </c>
      <c r="AB64" s="27" t="e">
        <f t="shared" si="20"/>
        <v>#DIV/0!</v>
      </c>
      <c r="AC64" s="27" t="e">
        <f t="shared" si="20"/>
        <v>#DIV/0!</v>
      </c>
      <c r="AD64" s="27" t="e">
        <f t="shared" si="20"/>
        <v>#DIV/0!</v>
      </c>
      <c r="AE64" s="27" t="e">
        <f t="shared" si="20"/>
        <v>#DIV/0!</v>
      </c>
      <c r="AF64" s="27" t="e">
        <f t="shared" si="20"/>
        <v>#DIV/0!</v>
      </c>
      <c r="AG64" s="27" t="e">
        <f t="shared" si="20"/>
        <v>#DIV/0!</v>
      </c>
      <c r="AH64" s="27" t="e">
        <f t="shared" si="20"/>
        <v>#DIV/0!</v>
      </c>
      <c r="AI64" s="27" t="e">
        <f t="shared" ref="AI64:BN64" si="21">(AI35-AI62)</f>
        <v>#DIV/0!</v>
      </c>
      <c r="AJ64" s="27" t="e">
        <f t="shared" si="21"/>
        <v>#DIV/0!</v>
      </c>
      <c r="AK64" s="27" t="e">
        <f t="shared" si="21"/>
        <v>#DIV/0!</v>
      </c>
      <c r="AL64" s="27" t="e">
        <f t="shared" si="21"/>
        <v>#DIV/0!</v>
      </c>
      <c r="AM64" s="27" t="e">
        <f t="shared" si="21"/>
        <v>#DIV/0!</v>
      </c>
      <c r="AN64" s="27" t="e">
        <f t="shared" si="21"/>
        <v>#DIV/0!</v>
      </c>
      <c r="AO64" s="27" t="e">
        <f t="shared" si="21"/>
        <v>#DIV/0!</v>
      </c>
      <c r="AP64" s="27" t="e">
        <f t="shared" si="21"/>
        <v>#DIV/0!</v>
      </c>
      <c r="AQ64" s="27" t="e">
        <f t="shared" si="21"/>
        <v>#DIV/0!</v>
      </c>
      <c r="AR64" s="27" t="e">
        <f t="shared" si="21"/>
        <v>#DIV/0!</v>
      </c>
      <c r="AS64" s="27" t="e">
        <f t="shared" si="21"/>
        <v>#DIV/0!</v>
      </c>
      <c r="AT64" s="27" t="e">
        <f t="shared" si="21"/>
        <v>#DIV/0!</v>
      </c>
      <c r="AU64" s="27" t="e">
        <f t="shared" si="21"/>
        <v>#DIV/0!</v>
      </c>
      <c r="AV64" s="27" t="e">
        <f t="shared" si="21"/>
        <v>#DIV/0!</v>
      </c>
      <c r="AW64" s="27" t="e">
        <f t="shared" si="21"/>
        <v>#DIV/0!</v>
      </c>
      <c r="AX64" s="27" t="e">
        <f t="shared" si="21"/>
        <v>#DIV/0!</v>
      </c>
      <c r="AY64" s="27" t="e">
        <f t="shared" si="21"/>
        <v>#DIV/0!</v>
      </c>
      <c r="AZ64" s="27" t="e">
        <f t="shared" si="21"/>
        <v>#DIV/0!</v>
      </c>
      <c r="BA64" s="27" t="e">
        <f t="shared" si="21"/>
        <v>#DIV/0!</v>
      </c>
      <c r="BB64" s="27" t="e">
        <f t="shared" si="21"/>
        <v>#DIV/0!</v>
      </c>
      <c r="BC64" s="27" t="e">
        <f t="shared" si="21"/>
        <v>#DIV/0!</v>
      </c>
      <c r="BD64" s="27" t="e">
        <f t="shared" si="21"/>
        <v>#DIV/0!</v>
      </c>
      <c r="BE64" s="27" t="e">
        <f t="shared" si="21"/>
        <v>#DIV/0!</v>
      </c>
      <c r="BF64" s="27" t="e">
        <f t="shared" si="21"/>
        <v>#DIV/0!</v>
      </c>
      <c r="BG64" s="27" t="e">
        <f t="shared" si="21"/>
        <v>#DIV/0!</v>
      </c>
      <c r="BH64" s="27" t="e">
        <f t="shared" si="21"/>
        <v>#DIV/0!</v>
      </c>
      <c r="BI64" s="27" t="e">
        <f t="shared" si="21"/>
        <v>#DIV/0!</v>
      </c>
      <c r="BJ64" s="27" t="e">
        <f t="shared" si="21"/>
        <v>#DIV/0!</v>
      </c>
      <c r="BK64" s="27" t="e">
        <f t="shared" si="21"/>
        <v>#DIV/0!</v>
      </c>
      <c r="BL64" s="27" t="e">
        <f t="shared" si="21"/>
        <v>#DIV/0!</v>
      </c>
      <c r="BM64" s="27" t="e">
        <f t="shared" si="21"/>
        <v>#DIV/0!</v>
      </c>
      <c r="BN64" s="27" t="e">
        <f t="shared" si="21"/>
        <v>#DIV/0!</v>
      </c>
      <c r="BO64" s="27" t="e">
        <f t="shared" ref="BO64:CX64" si="22">(BO35-BO62)</f>
        <v>#DIV/0!</v>
      </c>
      <c r="BP64" s="27" t="e">
        <f t="shared" si="22"/>
        <v>#DIV/0!</v>
      </c>
      <c r="BQ64" s="27" t="e">
        <f t="shared" si="22"/>
        <v>#DIV/0!</v>
      </c>
      <c r="BR64" s="27" t="e">
        <f t="shared" si="22"/>
        <v>#DIV/0!</v>
      </c>
      <c r="BS64" s="27" t="e">
        <f t="shared" si="22"/>
        <v>#DIV/0!</v>
      </c>
      <c r="BT64" s="27" t="e">
        <f t="shared" si="22"/>
        <v>#DIV/0!</v>
      </c>
      <c r="BU64" s="27" t="e">
        <f t="shared" si="22"/>
        <v>#DIV/0!</v>
      </c>
      <c r="BV64" s="27" t="e">
        <f t="shared" si="22"/>
        <v>#DIV/0!</v>
      </c>
      <c r="BW64" s="27" t="e">
        <f t="shared" si="22"/>
        <v>#DIV/0!</v>
      </c>
      <c r="BX64" s="27" t="e">
        <f t="shared" si="22"/>
        <v>#DIV/0!</v>
      </c>
      <c r="BY64" s="27" t="e">
        <f t="shared" si="22"/>
        <v>#DIV/0!</v>
      </c>
      <c r="BZ64" s="27" t="e">
        <f t="shared" si="22"/>
        <v>#DIV/0!</v>
      </c>
      <c r="CA64" s="27" t="e">
        <f t="shared" si="22"/>
        <v>#DIV/0!</v>
      </c>
      <c r="CB64" s="27" t="e">
        <f t="shared" si="22"/>
        <v>#DIV/0!</v>
      </c>
      <c r="CC64" s="27" t="e">
        <f t="shared" si="22"/>
        <v>#DIV/0!</v>
      </c>
      <c r="CD64" s="27" t="e">
        <f t="shared" si="22"/>
        <v>#DIV/0!</v>
      </c>
      <c r="CE64" s="27" t="e">
        <f t="shared" si="22"/>
        <v>#DIV/0!</v>
      </c>
      <c r="CF64" s="27" t="e">
        <f t="shared" si="22"/>
        <v>#DIV/0!</v>
      </c>
      <c r="CG64" s="27" t="e">
        <f t="shared" si="22"/>
        <v>#DIV/0!</v>
      </c>
      <c r="CH64" s="27" t="e">
        <f t="shared" si="22"/>
        <v>#DIV/0!</v>
      </c>
      <c r="CI64" s="27" t="e">
        <f t="shared" si="22"/>
        <v>#DIV/0!</v>
      </c>
      <c r="CJ64" s="27" t="e">
        <f t="shared" si="22"/>
        <v>#DIV/0!</v>
      </c>
      <c r="CK64" s="27" t="e">
        <f t="shared" si="22"/>
        <v>#DIV/0!</v>
      </c>
      <c r="CL64" s="27" t="e">
        <f t="shared" si="22"/>
        <v>#DIV/0!</v>
      </c>
      <c r="CM64" s="27" t="e">
        <f t="shared" si="22"/>
        <v>#DIV/0!</v>
      </c>
      <c r="CN64" s="27" t="e">
        <f t="shared" si="22"/>
        <v>#DIV/0!</v>
      </c>
      <c r="CO64" s="27" t="e">
        <f t="shared" si="22"/>
        <v>#DIV/0!</v>
      </c>
      <c r="CP64" s="27" t="e">
        <f t="shared" si="22"/>
        <v>#DIV/0!</v>
      </c>
      <c r="CQ64" s="27" t="e">
        <f t="shared" si="22"/>
        <v>#DIV/0!</v>
      </c>
      <c r="CR64" s="27" t="e">
        <f t="shared" si="22"/>
        <v>#DIV/0!</v>
      </c>
      <c r="CS64" s="27" t="e">
        <f t="shared" si="22"/>
        <v>#DIV/0!</v>
      </c>
      <c r="CT64" s="27" t="e">
        <f t="shared" si="22"/>
        <v>#DIV/0!</v>
      </c>
      <c r="CU64" s="27" t="e">
        <f t="shared" si="22"/>
        <v>#DIV/0!</v>
      </c>
      <c r="CV64" s="27" t="e">
        <f t="shared" si="22"/>
        <v>#DIV/0!</v>
      </c>
      <c r="CW64" s="27" t="e">
        <f t="shared" si="22"/>
        <v>#DIV/0!</v>
      </c>
      <c r="CX64" s="27" t="e">
        <f t="shared" si="22"/>
        <v>#DIV/0!</v>
      </c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</row>
    <row r="65" spans="1:116" s="2" customFormat="1" ht="16.5" x14ac:dyDescent="0.3">
      <c r="A65" s="25"/>
      <c r="B65" s="29" t="s">
        <v>15</v>
      </c>
      <c r="C65" s="30" t="e">
        <f t="shared" ref="C65:AH65" si="23">IF(C64&gt;0.2,"G", IF(C64&gt;0.1, "M","P"))</f>
        <v>#DIV/0!</v>
      </c>
      <c r="D65" s="30" t="e">
        <f t="shared" si="23"/>
        <v>#DIV/0!</v>
      </c>
      <c r="E65" s="30" t="e">
        <f t="shared" si="23"/>
        <v>#DIV/0!</v>
      </c>
      <c r="F65" s="30" t="e">
        <f t="shared" si="23"/>
        <v>#DIV/0!</v>
      </c>
      <c r="G65" s="30" t="e">
        <f t="shared" si="23"/>
        <v>#DIV/0!</v>
      </c>
      <c r="H65" s="30" t="e">
        <f t="shared" si="23"/>
        <v>#DIV/0!</v>
      </c>
      <c r="I65" s="30" t="e">
        <f t="shared" si="23"/>
        <v>#DIV/0!</v>
      </c>
      <c r="J65" s="30" t="e">
        <f t="shared" si="23"/>
        <v>#DIV/0!</v>
      </c>
      <c r="K65" s="30" t="e">
        <f t="shared" si="23"/>
        <v>#DIV/0!</v>
      </c>
      <c r="L65" s="30" t="e">
        <f t="shared" si="23"/>
        <v>#DIV/0!</v>
      </c>
      <c r="M65" s="30" t="e">
        <f t="shared" si="23"/>
        <v>#DIV/0!</v>
      </c>
      <c r="N65" s="30" t="e">
        <f t="shared" si="23"/>
        <v>#DIV/0!</v>
      </c>
      <c r="O65" s="30" t="e">
        <f t="shared" si="23"/>
        <v>#DIV/0!</v>
      </c>
      <c r="P65" s="30" t="e">
        <f t="shared" si="23"/>
        <v>#DIV/0!</v>
      </c>
      <c r="Q65" s="30" t="e">
        <f t="shared" si="23"/>
        <v>#DIV/0!</v>
      </c>
      <c r="R65" s="30" t="e">
        <f t="shared" si="23"/>
        <v>#DIV/0!</v>
      </c>
      <c r="S65" s="30" t="e">
        <f t="shared" si="23"/>
        <v>#DIV/0!</v>
      </c>
      <c r="T65" s="30" t="e">
        <f t="shared" si="23"/>
        <v>#DIV/0!</v>
      </c>
      <c r="U65" s="30" t="e">
        <f t="shared" si="23"/>
        <v>#DIV/0!</v>
      </c>
      <c r="V65" s="30" t="e">
        <f t="shared" si="23"/>
        <v>#DIV/0!</v>
      </c>
      <c r="W65" s="30" t="e">
        <f t="shared" si="23"/>
        <v>#DIV/0!</v>
      </c>
      <c r="X65" s="30" t="e">
        <f t="shared" si="23"/>
        <v>#DIV/0!</v>
      </c>
      <c r="Y65" s="30" t="e">
        <f t="shared" si="23"/>
        <v>#DIV/0!</v>
      </c>
      <c r="Z65" s="30" t="e">
        <f t="shared" si="23"/>
        <v>#DIV/0!</v>
      </c>
      <c r="AA65" s="30" t="e">
        <f t="shared" si="23"/>
        <v>#DIV/0!</v>
      </c>
      <c r="AB65" s="30" t="e">
        <f t="shared" si="23"/>
        <v>#DIV/0!</v>
      </c>
      <c r="AC65" s="30" t="e">
        <f t="shared" si="23"/>
        <v>#DIV/0!</v>
      </c>
      <c r="AD65" s="30" t="e">
        <f t="shared" si="23"/>
        <v>#DIV/0!</v>
      </c>
      <c r="AE65" s="30" t="e">
        <f t="shared" si="23"/>
        <v>#DIV/0!</v>
      </c>
      <c r="AF65" s="30" t="e">
        <f t="shared" si="23"/>
        <v>#DIV/0!</v>
      </c>
      <c r="AG65" s="30" t="e">
        <f t="shared" si="23"/>
        <v>#DIV/0!</v>
      </c>
      <c r="AH65" s="30" t="e">
        <f t="shared" si="23"/>
        <v>#DIV/0!</v>
      </c>
      <c r="AI65" s="30" t="e">
        <f t="shared" ref="AI65:BN65" si="24">IF(AI64&gt;0.2,"G", IF(AI64&gt;0.1, "M","P"))</f>
        <v>#DIV/0!</v>
      </c>
      <c r="AJ65" s="30" t="e">
        <f t="shared" si="24"/>
        <v>#DIV/0!</v>
      </c>
      <c r="AK65" s="30" t="e">
        <f t="shared" si="24"/>
        <v>#DIV/0!</v>
      </c>
      <c r="AL65" s="30" t="e">
        <f t="shared" si="24"/>
        <v>#DIV/0!</v>
      </c>
      <c r="AM65" s="30" t="e">
        <f t="shared" si="24"/>
        <v>#DIV/0!</v>
      </c>
      <c r="AN65" s="30" t="e">
        <f t="shared" si="24"/>
        <v>#DIV/0!</v>
      </c>
      <c r="AO65" s="30" t="e">
        <f t="shared" si="24"/>
        <v>#DIV/0!</v>
      </c>
      <c r="AP65" s="30" t="e">
        <f t="shared" si="24"/>
        <v>#DIV/0!</v>
      </c>
      <c r="AQ65" s="30" t="e">
        <f t="shared" si="24"/>
        <v>#DIV/0!</v>
      </c>
      <c r="AR65" s="30" t="e">
        <f t="shared" si="24"/>
        <v>#DIV/0!</v>
      </c>
      <c r="AS65" s="30" t="e">
        <f t="shared" si="24"/>
        <v>#DIV/0!</v>
      </c>
      <c r="AT65" s="30" t="e">
        <f t="shared" si="24"/>
        <v>#DIV/0!</v>
      </c>
      <c r="AU65" s="30" t="e">
        <f t="shared" si="24"/>
        <v>#DIV/0!</v>
      </c>
      <c r="AV65" s="30" t="e">
        <f t="shared" si="24"/>
        <v>#DIV/0!</v>
      </c>
      <c r="AW65" s="30" t="e">
        <f t="shared" si="24"/>
        <v>#DIV/0!</v>
      </c>
      <c r="AX65" s="30" t="e">
        <f t="shared" si="24"/>
        <v>#DIV/0!</v>
      </c>
      <c r="AY65" s="30" t="e">
        <f t="shared" si="24"/>
        <v>#DIV/0!</v>
      </c>
      <c r="AZ65" s="30" t="e">
        <f t="shared" si="24"/>
        <v>#DIV/0!</v>
      </c>
      <c r="BA65" s="30" t="e">
        <f t="shared" si="24"/>
        <v>#DIV/0!</v>
      </c>
      <c r="BB65" s="30" t="e">
        <f t="shared" si="24"/>
        <v>#DIV/0!</v>
      </c>
      <c r="BC65" s="30" t="e">
        <f t="shared" si="24"/>
        <v>#DIV/0!</v>
      </c>
      <c r="BD65" s="30" t="e">
        <f t="shared" si="24"/>
        <v>#DIV/0!</v>
      </c>
      <c r="BE65" s="30" t="e">
        <f t="shared" si="24"/>
        <v>#DIV/0!</v>
      </c>
      <c r="BF65" s="30" t="e">
        <f t="shared" si="24"/>
        <v>#DIV/0!</v>
      </c>
      <c r="BG65" s="30" t="e">
        <f t="shared" si="24"/>
        <v>#DIV/0!</v>
      </c>
      <c r="BH65" s="30" t="e">
        <f t="shared" si="24"/>
        <v>#DIV/0!</v>
      </c>
      <c r="BI65" s="30" t="e">
        <f t="shared" si="24"/>
        <v>#DIV/0!</v>
      </c>
      <c r="BJ65" s="30" t="e">
        <f t="shared" si="24"/>
        <v>#DIV/0!</v>
      </c>
      <c r="BK65" s="30" t="e">
        <f t="shared" si="24"/>
        <v>#DIV/0!</v>
      </c>
      <c r="BL65" s="30" t="e">
        <f t="shared" si="24"/>
        <v>#DIV/0!</v>
      </c>
      <c r="BM65" s="30" t="e">
        <f t="shared" si="24"/>
        <v>#DIV/0!</v>
      </c>
      <c r="BN65" s="30" t="e">
        <f t="shared" si="24"/>
        <v>#DIV/0!</v>
      </c>
      <c r="BO65" s="30" t="e">
        <f t="shared" ref="BO65:CT65" si="25">IF(BO64&gt;0.2,"G", IF(BO64&gt;0.1, "M","P"))</f>
        <v>#DIV/0!</v>
      </c>
      <c r="BP65" s="30" t="e">
        <f t="shared" si="25"/>
        <v>#DIV/0!</v>
      </c>
      <c r="BQ65" s="30" t="e">
        <f t="shared" si="25"/>
        <v>#DIV/0!</v>
      </c>
      <c r="BR65" s="30" t="e">
        <f t="shared" si="25"/>
        <v>#DIV/0!</v>
      </c>
      <c r="BS65" s="30" t="e">
        <f t="shared" si="25"/>
        <v>#DIV/0!</v>
      </c>
      <c r="BT65" s="30" t="e">
        <f t="shared" si="25"/>
        <v>#DIV/0!</v>
      </c>
      <c r="BU65" s="30" t="e">
        <f t="shared" si="25"/>
        <v>#DIV/0!</v>
      </c>
      <c r="BV65" s="30" t="e">
        <f t="shared" si="25"/>
        <v>#DIV/0!</v>
      </c>
      <c r="BW65" s="30" t="e">
        <f t="shared" si="25"/>
        <v>#DIV/0!</v>
      </c>
      <c r="BX65" s="30" t="e">
        <f t="shared" si="25"/>
        <v>#DIV/0!</v>
      </c>
      <c r="BY65" s="30" t="e">
        <f t="shared" si="25"/>
        <v>#DIV/0!</v>
      </c>
      <c r="BZ65" s="30" t="e">
        <f t="shared" si="25"/>
        <v>#DIV/0!</v>
      </c>
      <c r="CA65" s="30" t="e">
        <f t="shared" si="25"/>
        <v>#DIV/0!</v>
      </c>
      <c r="CB65" s="30" t="e">
        <f t="shared" si="25"/>
        <v>#DIV/0!</v>
      </c>
      <c r="CC65" s="30" t="e">
        <f t="shared" si="25"/>
        <v>#DIV/0!</v>
      </c>
      <c r="CD65" s="30" t="e">
        <f t="shared" si="25"/>
        <v>#DIV/0!</v>
      </c>
      <c r="CE65" s="30" t="e">
        <f t="shared" si="25"/>
        <v>#DIV/0!</v>
      </c>
      <c r="CF65" s="30" t="e">
        <f t="shared" si="25"/>
        <v>#DIV/0!</v>
      </c>
      <c r="CG65" s="30" t="e">
        <f t="shared" si="25"/>
        <v>#DIV/0!</v>
      </c>
      <c r="CH65" s="30" t="e">
        <f t="shared" si="25"/>
        <v>#DIV/0!</v>
      </c>
      <c r="CI65" s="30" t="e">
        <f t="shared" si="25"/>
        <v>#DIV/0!</v>
      </c>
      <c r="CJ65" s="30" t="e">
        <f t="shared" si="25"/>
        <v>#DIV/0!</v>
      </c>
      <c r="CK65" s="30" t="e">
        <f t="shared" si="25"/>
        <v>#DIV/0!</v>
      </c>
      <c r="CL65" s="30" t="e">
        <f t="shared" si="25"/>
        <v>#DIV/0!</v>
      </c>
      <c r="CM65" s="30" t="e">
        <f t="shared" si="25"/>
        <v>#DIV/0!</v>
      </c>
      <c r="CN65" s="30" t="e">
        <f t="shared" si="25"/>
        <v>#DIV/0!</v>
      </c>
      <c r="CO65" s="30" t="e">
        <f t="shared" si="25"/>
        <v>#DIV/0!</v>
      </c>
      <c r="CP65" s="30" t="e">
        <f t="shared" si="25"/>
        <v>#DIV/0!</v>
      </c>
      <c r="CQ65" s="30" t="e">
        <f t="shared" si="25"/>
        <v>#DIV/0!</v>
      </c>
      <c r="CR65" s="30" t="e">
        <f t="shared" si="25"/>
        <v>#DIV/0!</v>
      </c>
      <c r="CS65" s="30" t="e">
        <f t="shared" si="25"/>
        <v>#DIV/0!</v>
      </c>
      <c r="CT65" s="30" t="e">
        <f t="shared" si="25"/>
        <v>#DIV/0!</v>
      </c>
      <c r="CU65" s="30" t="e">
        <f t="shared" ref="CU65:CX65" si="26">IF(CU64&gt;0.2,"G", IF(CU64&gt;0.1, "M","P"))</f>
        <v>#DIV/0!</v>
      </c>
      <c r="CV65" s="30" t="e">
        <f t="shared" si="26"/>
        <v>#DIV/0!</v>
      </c>
      <c r="CW65" s="30" t="e">
        <f t="shared" si="26"/>
        <v>#DIV/0!</v>
      </c>
      <c r="CX65" s="30" t="e">
        <f t="shared" si="26"/>
        <v>#DIV/0!</v>
      </c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</row>
    <row r="66" spans="1:116" s="2" customFormat="1" ht="16.5" x14ac:dyDescent="0.3">
      <c r="A66" s="25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</row>
    <row r="67" spans="1:116" s="2" customFormat="1" ht="16.5" x14ac:dyDescent="0.3">
      <c r="A67" s="32" t="s">
        <v>16</v>
      </c>
      <c r="B67" s="33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</row>
    <row r="68" spans="1:116" s="2" customFormat="1" ht="16.5" x14ac:dyDescent="0.3">
      <c r="A68" s="25"/>
      <c r="B68" s="29" t="s">
        <v>17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</row>
    <row r="69" spans="1:116" s="2" customFormat="1" ht="16.5" x14ac:dyDescent="0.3">
      <c r="A69" s="25"/>
      <c r="B69" s="29" t="s">
        <v>18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</row>
    <row r="70" spans="1:116" s="2" customFormat="1" ht="16.5" x14ac:dyDescent="0.3">
      <c r="A70" s="25"/>
      <c r="B70" s="29" t="s">
        <v>19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</row>
    <row r="71" spans="1:116" s="2" customFormat="1" ht="16.5" x14ac:dyDescent="0.3">
      <c r="A71" s="25"/>
      <c r="B71" s="29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</row>
    <row r="72" spans="1:116" ht="16.5" x14ac:dyDescent="0.3">
      <c r="A72" s="17" t="s">
        <v>20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V72" s="13" t="s">
        <v>21</v>
      </c>
      <c r="W72" s="13"/>
      <c r="X72" s="13"/>
      <c r="Y72" s="13"/>
      <c r="Z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</row>
    <row r="73" spans="1:116" ht="16.5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V73" s="13"/>
      <c r="W73" s="13"/>
      <c r="X73" s="13"/>
      <c r="Y73" s="13"/>
      <c r="Z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</row>
    <row r="74" spans="1:116" ht="17.25" thickBot="1" x14ac:dyDescent="0.35">
      <c r="A74" s="34"/>
      <c r="B74" s="35"/>
      <c r="C74" s="36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V74" s="41"/>
      <c r="W74" s="41"/>
      <c r="X74" s="41"/>
      <c r="Y74" s="41"/>
      <c r="Z74" s="41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</row>
    <row r="75" spans="1:116" ht="17.25" thickTop="1" x14ac:dyDescent="0.3">
      <c r="A75" s="55" t="s">
        <v>36</v>
      </c>
      <c r="B75" s="5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V75" s="54" t="s">
        <v>22</v>
      </c>
      <c r="W75" s="54"/>
      <c r="X75" s="54"/>
      <c r="Y75" s="54"/>
      <c r="Z75" s="54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</row>
    <row r="76" spans="1:116" ht="17.25" thickBot="1" x14ac:dyDescent="0.3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13"/>
      <c r="Z76" s="13"/>
      <c r="AA76" s="17"/>
      <c r="AB76" s="46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46"/>
      <c r="BF76" s="46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46"/>
      <c r="CJ76" s="46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</row>
    <row r="77" spans="1:116" ht="16.5" x14ac:dyDescent="0.3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</row>
    <row r="78" spans="1:116" ht="16.5" x14ac:dyDescent="0.3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</row>
    <row r="79" spans="1:116" ht="16.5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</row>
    <row r="80" spans="1:116" ht="16.5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</row>
    <row r="81" spans="1:116" ht="16.5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</row>
    <row r="82" spans="1:116" ht="16.5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</row>
    <row r="83" spans="1:116" ht="16.5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</row>
    <row r="84" spans="1:116" ht="16.5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</row>
    <row r="85" spans="1:116" ht="16.5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</row>
    <row r="86" spans="1:116" ht="16.5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</row>
    <row r="87" spans="1:116" ht="16.5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</row>
    <row r="88" spans="1:116" ht="16.5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</row>
    <row r="89" spans="1:116" ht="16.5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</row>
    <row r="90" spans="1:116" ht="16.5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</row>
    <row r="91" spans="1:116" ht="16.5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</row>
    <row r="92" spans="1:116" ht="16.5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</row>
    <row r="93" spans="1:116" ht="16.5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</row>
    <row r="94" spans="1:116" ht="15.75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</row>
    <row r="95" spans="1:116" ht="15.75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</row>
    <row r="96" spans="1:116" ht="15.75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</row>
  </sheetData>
  <mergeCells count="24">
    <mergeCell ref="A76:X76"/>
    <mergeCell ref="A77:X77"/>
    <mergeCell ref="A78:X78"/>
    <mergeCell ref="C10:D10"/>
    <mergeCell ref="C11:D11"/>
    <mergeCell ref="E10:F10"/>
    <mergeCell ref="E11:F11"/>
    <mergeCell ref="J10:M10"/>
    <mergeCell ref="J11:M11"/>
    <mergeCell ref="C16:AA16"/>
    <mergeCell ref="C43:AA43"/>
    <mergeCell ref="Q11:U11"/>
    <mergeCell ref="A42:B42"/>
    <mergeCell ref="A43:B44"/>
    <mergeCell ref="A15:B15"/>
    <mergeCell ref="A16:B17"/>
    <mergeCell ref="CJ16:CX16"/>
    <mergeCell ref="CJ43:CX43"/>
    <mergeCell ref="BF43:CI43"/>
    <mergeCell ref="V75:Z75"/>
    <mergeCell ref="A75:B75"/>
    <mergeCell ref="AB16:BE16"/>
    <mergeCell ref="AB43:BE43"/>
    <mergeCell ref="BF16:CI16"/>
  </mergeCells>
  <pageMargins left="1.4173228346456694" right="0.11811023622047245" top="0.23622047244094491" bottom="0.23622047244094491" header="0.51181102362204722" footer="0.51181102362204722"/>
  <pageSetup paperSize="5" scale="70" firstPageNumber="0" orientation="landscape" horizontalDpi="300" verticalDpi="300" r:id="rId1"/>
  <colBreaks count="1" manualBreakCount="1">
    <brk id="27" max="7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 Analysis</vt:lpstr>
      <vt:lpstr>'Items Analysis'!Print_Area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</dc:creator>
  <cp:lastModifiedBy>EVP Office</cp:lastModifiedBy>
  <cp:revision>0</cp:revision>
  <cp:lastPrinted>2023-02-22T10:46:43Z</cp:lastPrinted>
  <dcterms:created xsi:type="dcterms:W3CDTF">2010-11-16T07:14:04Z</dcterms:created>
  <dcterms:modified xsi:type="dcterms:W3CDTF">2023-09-06T03:38:15Z</dcterms:modified>
</cp:coreProperties>
</file>